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23"/>
  <workbookPr/>
  <mc:AlternateContent xmlns:mc="http://schemas.openxmlformats.org/markup-compatibility/2006">
    <mc:Choice Requires="x15">
      <x15ac:absPath xmlns:x15ac="http://schemas.microsoft.com/office/spreadsheetml/2010/11/ac" url="C:\Users\qinzen\Downloads\"/>
    </mc:Choice>
  </mc:AlternateContent>
  <xr:revisionPtr revIDLastSave="0" documentId="8_{EB0BA9F4-7630-4E1B-881F-C892BC552D0F}" xr6:coauthVersionLast="47" xr6:coauthVersionMax="47" xr10:uidLastSave="{00000000-0000-0000-0000-000000000000}"/>
  <bookViews>
    <workbookView xWindow="0" yWindow="0" windowWidth="28800" windowHeight="13905"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8" i="1" l="1"/>
  <c r="F48" i="1"/>
  <c r="E48" i="1"/>
  <c r="D48" i="1"/>
  <c r="C48" i="1"/>
  <c r="B48" i="1"/>
  <c r="J21" i="1"/>
  <c r="Q65" i="1"/>
  <c r="Q66" i="1" s="1"/>
  <c r="P65" i="1"/>
  <c r="P66" i="1" s="1"/>
  <c r="O65" i="1"/>
  <c r="O66" i="1" s="1"/>
  <c r="N65" i="1"/>
  <c r="N66" i="1" s="1"/>
  <c r="M65" i="1"/>
  <c r="M66" i="1" s="1"/>
  <c r="L65" i="1"/>
  <c r="L66" i="1" s="1"/>
  <c r="K65" i="1"/>
  <c r="K66" i="1" s="1"/>
  <c r="J65" i="1"/>
  <c r="J66" i="1" s="1"/>
  <c r="I65" i="1"/>
  <c r="I66" i="1" s="1"/>
  <c r="H65" i="1"/>
  <c r="H66" i="1" s="1"/>
  <c r="K21" i="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C43" i="1"/>
  <c r="B37" i="1"/>
  <c r="G43" i="1"/>
  <c r="E43" i="1"/>
  <c r="G37" i="1"/>
  <c r="E37" i="1"/>
  <c r="C37" i="1"/>
  <c r="F37" i="1"/>
  <c r="D37" i="1"/>
  <c r="K38" i="1" l="1"/>
</calcChain>
</file>

<file path=xl/sharedStrings.xml><?xml version="1.0" encoding="utf-8"?>
<sst xmlns="http://schemas.openxmlformats.org/spreadsheetml/2006/main" count="455" uniqueCount="151">
  <si>
    <t>Id</t>
  </si>
  <si>
    <t>How readable did you find the summarised manifesto on a scale of 1-10? 1 being least readable, 10 being most readable.</t>
  </si>
  <si>
    <t>How readable did you find the un-summarised manifesto on a scale of 1-10? 1 being least readable, 10 being most readable.</t>
  </si>
  <si>
    <t>How easy do you feel it was to learn about politics from the summarised manifesto on a scale of 1-10? 1 being hardest, 10 being the easiest.</t>
  </si>
  <si>
    <t>How easy do you feel it was to learn about politics from the un-summarised manifesto on a scale of 1-10? 1 being hardest, 10 being the easiest.</t>
  </si>
  <si>
    <t>How understandable was the summarised manifesto on a scale of 1-10? 1 being least understandable, 10 being the very understandable.</t>
  </si>
  <si>
    <t>How understandable was the un-summarised manifesto on a scale of 1-10? 1 being least understandable, 10 being the very understandable.</t>
  </si>
  <si>
    <t>I think that I would like to use this system frequently when researching UK politics..Select one:</t>
  </si>
  <si>
    <t>I found the website unnecessarily complex. .Select one:</t>
  </si>
  <si>
    <t>I thought the website was easy to use..Select one:</t>
  </si>
  <si>
    <t>I think that I would need the support of a technical person to be able to use the website..Select one:</t>
  </si>
  <si>
    <t>I found the various functions in the website were well integrated..Select one:</t>
  </si>
  <si>
    <t>I thought there was too much inconsistency in the website..Select one:</t>
  </si>
  <si>
    <t>I would imagine that most people would learn to use this website very quickly..Select one:</t>
  </si>
  <si>
    <t>I found the website very cumbersome to use. .Select one:</t>
  </si>
  <si>
    <t>I felt very confident using the website..Select one:</t>
  </si>
  <si>
    <t>I needed to learn a lot of things before I could get going with the website. .Select one:</t>
  </si>
  <si>
    <t>In your own words, how would you describe the difference between reading the full manifesto and the summarised version?</t>
  </si>
  <si>
    <t>Name the features you enjoyed on the website.</t>
  </si>
  <si>
    <t>Name the features you disliked on the website.</t>
  </si>
  <si>
    <t>Which part of the summarisation page did you find most useful?</t>
  </si>
  <si>
    <t>Did you feel that the summarised manifesto page enhanced your understanding of UK political manifestos?</t>
  </si>
  <si>
    <t>Did you feel that the visualisations improved your understanding of UK political manifestos?</t>
  </si>
  <si>
    <t>Do you feel that your experience with this website has made you more politically engaged?</t>
  </si>
  <si>
    <t>Did your experience with this website make you more inclined to vote?</t>
  </si>
  <si>
    <t>Does the information presented make you feel more confident when voting or being politically engaged?</t>
  </si>
  <si>
    <t>Does the information presented make you feel more confused about UK politics?</t>
  </si>
  <si>
    <t>What was the most memorable part of your experience using this website (good or bad)?</t>
  </si>
  <si>
    <t>If you had to summarise your overall impression of the website in a few sentences, what would you say?</t>
  </si>
  <si>
    <t>The summarised version provided a much needed overview of a parties manifesto. The full version contains far too much information for a person to be expected to read through, especially with the amount of parties.</t>
  </si>
  <si>
    <t>I found the visual aids (graphs, tables, statistics) especially helpful at giving an overview of a party.</t>
  </si>
  <si>
    <t>I think the summary box itself contained the right information, but maybe could've occupied more space so it was less condensed.</t>
  </si>
  <si>
    <t>Party Analysis &amp; Breakdown</t>
  </si>
  <si>
    <t>Yes</t>
  </si>
  <si>
    <t>No</t>
  </si>
  <si>
    <t>The visual aids, especially the party analysis and breakdown, as I felt it contained a lot of information in as little words as possible.</t>
  </si>
  <si>
    <t>I think that my personal lack of knowledge surrounding politics is simply because accessing the relevant information seems time-consuming and/or difficult. I think this website would be extremely beneficial to someone like me, and definitely feels more approachable than the full manifestos of parties.</t>
  </si>
  <si>
    <t>The full one was way too long, I wouldnt read the full thing. The summary one was better as I could just select the topics I wanted to see.</t>
  </si>
  <si>
    <t>Topic select dropdown, party search, metric tables</t>
  </si>
  <si>
    <t>I thought that having the metric tables the same when selecting different topics was slightly confusing</t>
  </si>
  <si>
    <t>Summary</t>
  </si>
  <si>
    <t>The fact that SNP worked when searching for the Scottish National Party</t>
  </si>
  <si>
    <t>Very good, would use this to fact check news papers.</t>
  </si>
  <si>
    <t>Very easy to find key points and see how the general aim of the party has been shown. I can see the breakdown of both the aims of the party and how the party presents itself a lot quicker.</t>
  </si>
  <si>
    <t>the word frequency, the short summaries of the information</t>
  </si>
  <si>
    <t>the pronoun frequency i dont feel was hugely necessary for my personal use</t>
  </si>
  <si>
    <t>The frequency of the words was a very good insightful feature alongside the general summary</t>
  </si>
  <si>
    <t>Very professional, very easy to use and would like to use again</t>
  </si>
  <si>
    <t>Summarised version was good to read to get a quick idead of the manifesto, but I feel like I would still need to read the full manifesto to learn everything about it and get the context behind it.</t>
  </si>
  <si>
    <t>Easy distinction between raw data section and summarision. Summarisation was usefull.</t>
  </si>
  <si>
    <t>Charts didn't feel very usefull as that data can intrerpreted in a lot of different ways.</t>
  </si>
  <si>
    <t>The summaries.</t>
  </si>
  <si>
    <t>Pretty good. Would like to see direct link from summary to the raw data.</t>
  </si>
  <si>
    <t>The full manifesto was easy to read, however it was unclear where sections on specific policy began and ended, as many overlapped e.g. economy and health.</t>
  </si>
  <si>
    <t>Aesthetic layout &amp; colour scheme. Predictive text in party search box was fast and helpful.</t>
  </si>
  <si>
    <t>The economic summary could have been longer, allowing for a more complete view of the parties goals.</t>
  </si>
  <si>
    <t>The data visualisations below the page showing a massive spike in talking about cost of living crisis.</t>
  </si>
  <si>
    <t>Fast and simple to navigate.</t>
  </si>
  <si>
    <t>Summarised was less verbose. Summarised was less formatted</t>
  </si>
  <si>
    <t>Having the ability to limit the summary to specific topics</t>
  </si>
  <si>
    <t>Scroll bar not visible at first.</t>
  </si>
  <si>
    <t xml:space="preserve">The best part is that it makes it easy to find party manifestos which can otherwise be difficult, especially when trying to find up to date ones. </t>
  </si>
  <si>
    <t>Easy to use, not feature bloated. Simple UI, summarisation is very accurate</t>
  </si>
  <si>
    <t>The full manifesto was very clunky and hard to read, as the page formats are horizontal.</t>
  </si>
  <si>
    <t>The ease of finding information, all the charts were very good for summaries.</t>
  </si>
  <si>
    <t>None, I really liked the website.</t>
  </si>
  <si>
    <t>Charts</t>
  </si>
  <si>
    <t>The colourscheme and images were very used, the website was very aesthetically pleasing.</t>
  </si>
  <si>
    <t>Very good, i had fun using the website and it made politics less confusing</t>
  </si>
  <si>
    <t xml:space="preserve">It made it a lot easier and palatable when the information was summarised and I was able to take it in more as it was less overwhelming. </t>
  </si>
  <si>
    <t>The search aspect and it was easier to tell what each button or link lead to.</t>
  </si>
  <si>
    <t>N/A</t>
  </si>
  <si>
    <t>The search button was really cool instead of having to scroll for ages.</t>
  </si>
  <si>
    <t xml:space="preserve">It was really good and really helpful and would be useful in getting people to vote who wouldn't normally as they don't have enough time.  It would also make it easier for those who are less likely to vote if they get overwhelmed as the information summarised is much easier to take in.
</t>
  </si>
  <si>
    <t>The full manifesto I looked at was 117 pages. That is inaccessibly long. Of course some information is lost by reading a paragraph instead, but it means I can have a better overview of several parties. If I want further information on a particular point mentioned in the summarised manifesto, it is easy to find the answer in the raw data.</t>
  </si>
  <si>
    <t>Loading icon, colour scheme, graphical displays of data. I searched for ‘lib dems’ rather than ‘liberal democrats’, and I was still able to get the right result.</t>
  </si>
  <si>
    <t xml:space="preserve">Getting to read about political parties I’m unfamiliar with. Not being from mainland UK, I feel out of touch with some politics. This gave me an easy way to learn more about them. </t>
  </si>
  <si>
    <t xml:space="preserve">Very helpful. Makes learning about what a party actually stands for, in their own words, very accessible. Visually appealing. </t>
  </si>
  <si>
    <t>The full manifesto is perhaps a little long and cumbersome, but I feel the summarised version is overly simplified, and lacks important details and nuance.</t>
  </si>
  <si>
    <t>The graphs and statistics were very useful in passing information quickly and efficiently.</t>
  </si>
  <si>
    <t>None particularly. Whatever handles the summarisation could use some tuning.</t>
  </si>
  <si>
    <t>Being a little intimidated by the size of the full manifesto.</t>
  </si>
  <si>
    <t>Overall a positive experience. The summary is a little too simplified in my opinion, but the rest is very useful.</t>
  </si>
  <si>
    <t>I felt like the summarised website made me more attracted to read it compared to the un-summarised one. It was a cool webpage overall.</t>
  </si>
  <si>
    <t>I like the overall design and the interactions in it.</t>
  </si>
  <si>
    <t>Nothing that i disliked about it.</t>
  </si>
  <si>
    <t>Party Statistics</t>
  </si>
  <si>
    <t>I would say the bar charts was the most memorable.</t>
  </si>
  <si>
    <t>I would say it is really cool website for users to skim through and get to know more about politics really fast</t>
  </si>
  <si>
    <t xml:space="preserve">Much easier to grasp the overall message of the summarised manifesto. The full manifestos were wordy and I got bored very quickly whereas the summaries did a good job at highlighting interesting and engaging points. </t>
  </si>
  <si>
    <t>The help button was handy to explain and the search bar was good at auto filling.</t>
  </si>
  <si>
    <t>N/a</t>
  </si>
  <si>
    <t>The interesting use of words in SNP's manifesto.</t>
  </si>
  <si>
    <t>A really great website that could seriously help the nation make informed decisions on politics, especially those from communities who are traditionally less engaged such as younger populations</t>
  </si>
  <si>
    <t xml:space="preserve">The summary gave me a good overview of the most important aspects the party stands for, whilst the full manifesto allowed me to get more information about certain points </t>
  </si>
  <si>
    <t xml:space="preserve">Very easy to navigate and comprehensive </t>
  </si>
  <si>
    <t xml:space="preserve">I liked the features the website has, as they all serve their purpose </t>
  </si>
  <si>
    <t xml:space="preserve">I like the chart showing the frequency of words used in the manifesto </t>
  </si>
  <si>
    <t>I think the website achieves exactly what it sets out to which makes my experience very pleasant. I also like the fact that it provides a quick overview of the party's main agenda.</t>
  </si>
  <si>
    <t>The summarised version made it a lot more accessible to the average person, it removed the hassle of having to sift through a large number of pages in an unsummarised manifesto to find the relevant information</t>
  </si>
  <si>
    <t>I enjoyed the graphs showing the number of times a word was used, as well as the ability to see different stats about the party</t>
  </si>
  <si>
    <t>Perhaps a pre-filled list of parties could show on the search bar as the user may not know the name of each party</t>
  </si>
  <si>
    <t>Opening the statistics page for a party and seeing all of the statistics and information neatly organised, as well as the summarised manifesto immediately available</t>
  </si>
  <si>
    <t>The website looks very professional and is quite easy to use, it clearly displays relevant information to the user and could be an effective tool for political education</t>
  </si>
  <si>
    <t xml:space="preserve">The summarised version was a quicker look at the overall manifesto and required less time while still giving me a good understanding of the Parties  goals </t>
  </si>
  <si>
    <t xml:space="preserve">the summary that came with each party </t>
  </si>
  <si>
    <t xml:space="preserve">maybe rename the raw data section to show that's where all the parties were </t>
  </si>
  <si>
    <t>The graphs</t>
  </si>
  <si>
    <t xml:space="preserve">easy to use, makes politics more accessible and less intimidating </t>
  </si>
  <si>
    <t>The summarised version gives quick notes in order to give a basic understanding of the given party's manifesto. The unsummarised version gives reasoning and depth to the information given in the summarised version</t>
  </si>
  <si>
    <t xml:space="preserve">the ease of going between each of the sections </t>
  </si>
  <si>
    <t>Call it perhaps political party to make it explicitly clear (and UK political parties)</t>
  </si>
  <si>
    <t>My favourite part was the summarised slide as if I wanted to gather information on several parties, it would be more efficient to look at this part</t>
  </si>
  <si>
    <t xml:space="preserve">I would say the website was very well made, it was nice and simple to navigate and not overcrowded with multiple tabs and subsections. </t>
  </si>
  <si>
    <t>The summarised version provides a nice and brief summary of the manifesto as a whole but feels a little empty compared to the full manifesto. I feel like I'm reading what someone has said when I read the full manifesto whereas the summary only feels like an introduction into the broader issues within.</t>
  </si>
  <si>
    <t>The website was fast and easy to navigate. I had no issue finding what I needed to find and felt comfortable when being asked to complete the tasks.</t>
  </si>
  <si>
    <t>I would've liked to see a link to the manifesto somewhere on the summary page to further streamline the process of viewing it.</t>
  </si>
  <si>
    <t>I found the speed of use most memorable. Being able to read a quick summary of the manifesto and then being able to jump into reading the full manifesto felt nice.</t>
  </si>
  <si>
    <t>The website provided me with a nice process of viewing a brief summary of a manifesto and then viewing the full thing. I was impressed with the speed of the website and the interesting details shown in graph form.</t>
  </si>
  <si>
    <t>Diff read</t>
  </si>
  <si>
    <t>Diff ease</t>
  </si>
  <si>
    <t>Diff understandable</t>
  </si>
  <si>
    <t>Which part of the page did you find most useful?</t>
  </si>
  <si>
    <t>Count</t>
  </si>
  <si>
    <t>Party Analysis and Breakdown</t>
  </si>
  <si>
    <t>Other</t>
  </si>
  <si>
    <t>STDEV:</t>
  </si>
  <si>
    <t>SETDEV:</t>
  </si>
  <si>
    <t>Standar Error:</t>
  </si>
  <si>
    <t>t value:</t>
  </si>
  <si>
    <t>p value:</t>
  </si>
  <si>
    <t>Bonferroni Threshold:</t>
  </si>
  <si>
    <t>Direct Match</t>
  </si>
  <si>
    <t>Paraphrased Match</t>
  </si>
  <si>
    <t>Inferential Match</t>
  </si>
  <si>
    <t xml:space="preserve">No Match </t>
  </si>
  <si>
    <t>I think that I would like to use this system frequently when researching UK politics.</t>
  </si>
  <si>
    <t>I found the website unnecessarily complex.</t>
  </si>
  <si>
    <t>I thought the website was easy to use.</t>
  </si>
  <si>
    <t>I think that I would need the support of a technical person to be able to use the website.</t>
  </si>
  <si>
    <t>I found the various functions in the website were well integrated.</t>
  </si>
  <si>
    <t>I thought there was too much inconsistency in the website.</t>
  </si>
  <si>
    <t>I would imagine that most people would learn to use this website very quickly.</t>
  </si>
  <si>
    <t>I found the website very cumbersome to use.</t>
  </si>
  <si>
    <t>I felt very confident using the website.</t>
  </si>
  <si>
    <t>I needed to learn a lot of things before I could get going with the website.</t>
  </si>
  <si>
    <t>Strongly Agree</t>
  </si>
  <si>
    <t>Strongly Disagree</t>
  </si>
  <si>
    <t>Agree</t>
  </si>
  <si>
    <t>Disagree</t>
  </si>
  <si>
    <t>Neither Agree nor Disagree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</si>
</sst>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6">
    <xf numFmtId="0" fontId="0" fillId="0" borderId="0" xfId="0"/>
    <xf numFmtId="49" fontId="0" fillId="0" borderId="0" xfId="0" applyNumberFormat="1"/>
    <xf numFmtId="0" fontId="0" fillId="2" borderId="1" xfId="0" applyFill="1" applyBorder="1"/>
    <xf numFmtId="0" fontId="0" fillId="0" borderId="1" xfId="0" applyBorder="1"/>
    <xf numFmtId="0" fontId="0" fillId="0" borderId="0" xfId="0" quotePrefix="1"/>
    <xf numFmtId="0" fontId="1" fillId="3" borderId="1" xfId="0" applyFont="1" applyFill="1" applyBorder="1"/>
  </cellXfs>
  <cellStyles count="1">
    <cellStyle name="Normal" xfId="0" builtinId="0"/>
  </cellStyles>
  <dxfs count="29">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t>Choice Question Answer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lotArea>
      <c:layout/>
      <c:barChart>
        <c:barDir val="col"/>
        <c:grouping val="clustered"/>
        <c:varyColors val="0"/>
        <c:ser>
          <c:idx val="0"/>
          <c:order val="0"/>
          <c:tx>
            <c:strRef>
              <c:f>Sheet1!T22</c:f>
              <c:strCache>
                <c:ptCount val="1"/>
                <c:pt idx="0">
                  <c:v>Count</c:v>
                </c:pt>
              </c:strCache>
            </c:strRef>
          </c:tx>
          <c:spPr>
            <a:solidFill>
              <a:srgbClr val="0070C0"/>
            </a:solidFill>
            <a:ln>
              <a:noFill/>
            </a:ln>
            <a:effectLst/>
          </c:spPr>
          <c:invertIfNegative val="0"/>
          <c:cat>
            <c:strRef>
              <c:f>Sheet1!$S$23:$S$27</c:f>
              <c:strCache>
                <c:ptCount val="5"/>
                <c:pt idx="0">
                  <c:v>Summary</c:v>
                </c:pt>
                <c:pt idx="1">
                  <c:v>Charts</c:v>
                </c:pt>
                <c:pt idx="2">
                  <c:v>Party Statistics</c:v>
                </c:pt>
                <c:pt idx="3">
                  <c:v>Party Analysis and Breakdown</c:v>
                </c:pt>
                <c:pt idx="4">
                  <c:v>Other</c:v>
                </c:pt>
              </c:strCache>
            </c:strRef>
          </c:cat>
          <c:val>
            <c:numRef>
              <c:f>Sheet1!$T$23:$T$27</c:f>
              <c:numCache>
                <c:formatCode>General</c:formatCode>
                <c:ptCount val="5"/>
                <c:pt idx="0">
                  <c:v>11</c:v>
                </c:pt>
                <c:pt idx="1">
                  <c:v>2</c:v>
                </c:pt>
                <c:pt idx="2">
                  <c:v>2</c:v>
                </c:pt>
                <c:pt idx="3">
                  <c:v>2</c:v>
                </c:pt>
                <c:pt idx="4">
                  <c:v>0</c:v>
                </c:pt>
              </c:numCache>
            </c:numRef>
          </c:val>
          <c:extLst>
            <c:ext xmlns:c16="http://schemas.microsoft.com/office/drawing/2014/chart" uri="{C3380CC4-5D6E-409C-BE32-E72D297353CC}">
              <c16:uniqueId val="{D8FF524E-066D-4F47-9469-77BD9E8D5F6A}"/>
            </c:ext>
          </c:extLst>
        </c:ser>
        <c:dLbls>
          <c:showLegendKey val="0"/>
          <c:showVal val="0"/>
          <c:showCatName val="0"/>
          <c:showSerName val="0"/>
          <c:showPercent val="0"/>
          <c:showBubbleSize val="0"/>
        </c:dLbls>
        <c:gapWidth val="33"/>
        <c:overlap val="-30"/>
        <c:axId val="1958617608"/>
        <c:axId val="1958619656"/>
      </c:barChart>
      <c:catAx>
        <c:axId val="1958617608"/>
        <c:scaling>
          <c:orientation val="minMax"/>
        </c:scaling>
        <c:delete val="0"/>
        <c:axPos val="b"/>
        <c:title>
          <c:tx>
            <c:rich>
              <a:bodyPr rot="0" spcFirstLastPara="1" vertOverflow="ellipsis" vert="horz" wrap="square" anchor="ctr" anchorCtr="1"/>
              <a:lstStyle/>
              <a:p>
                <a:pPr>
                  <a:defRPr sz="1100" b="0" i="0" u="none" strike="noStrike" kern="1200" baseline="0">
                    <a:solidFill>
                      <a:srgbClr val="000000"/>
                    </a:solidFill>
                    <a:latin typeface="+mn-lt"/>
                    <a:ea typeface="+mn-ea"/>
                    <a:cs typeface="+mn-cs"/>
                  </a:defRPr>
                </a:pPr>
                <a:r>
                  <a:rPr lang="en-US"/>
                  <a:t>Which part of the page did you find most useful?</a:t>
                </a:r>
              </a:p>
            </c:rich>
          </c:tx>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crossAx val="1958619656"/>
        <c:crosses val="autoZero"/>
        <c:auto val="1"/>
        <c:lblAlgn val="ctr"/>
        <c:lblOffset val="100"/>
        <c:noMultiLvlLbl val="0"/>
      </c:catAx>
      <c:valAx>
        <c:axId val="195861965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958617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t>Distribution of Matches From QA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lotArea>
      <c:layout/>
      <c:barChart>
        <c:barDir val="bar"/>
        <c:grouping val="clustered"/>
        <c:varyColors val="0"/>
        <c:ser>
          <c:idx val="0"/>
          <c:order val="0"/>
          <c:spPr>
            <a:solidFill>
              <a:srgbClr val="002060"/>
            </a:solidFill>
            <a:ln>
              <a:noFill/>
            </a:ln>
            <a:effectLst/>
          </c:spPr>
          <c:invertIfNegative val="0"/>
          <c:cat>
            <c:strRef>
              <c:f>Sheet1!$F$82:$F$85</c:f>
              <c:strCache>
                <c:ptCount val="4"/>
                <c:pt idx="0">
                  <c:v>Direct Match</c:v>
                </c:pt>
                <c:pt idx="1">
                  <c:v>Paraphrased Match</c:v>
                </c:pt>
                <c:pt idx="2">
                  <c:v>Inferential Match</c:v>
                </c:pt>
                <c:pt idx="3">
                  <c:v>No Match </c:v>
                </c:pt>
              </c:strCache>
            </c:strRef>
          </c:cat>
          <c:val>
            <c:numRef>
              <c:f>Sheet1!$G$82:$G$85</c:f>
              <c:numCache>
                <c:formatCode>General</c:formatCode>
                <c:ptCount val="4"/>
                <c:pt idx="0">
                  <c:v>20</c:v>
                </c:pt>
                <c:pt idx="1">
                  <c:v>4</c:v>
                </c:pt>
                <c:pt idx="2">
                  <c:v>1</c:v>
                </c:pt>
                <c:pt idx="3">
                  <c:v>1</c:v>
                </c:pt>
              </c:numCache>
            </c:numRef>
          </c:val>
          <c:extLst>
            <c:ext xmlns:c16="http://schemas.microsoft.com/office/drawing/2014/chart" uri="{C3380CC4-5D6E-409C-BE32-E72D297353CC}">
              <c16:uniqueId val="{00000001-450A-48CC-9CDD-04A2AE9339E8}"/>
            </c:ext>
          </c:extLst>
        </c:ser>
        <c:dLbls>
          <c:showLegendKey val="0"/>
          <c:showVal val="0"/>
          <c:showCatName val="0"/>
          <c:showSerName val="0"/>
          <c:showPercent val="0"/>
          <c:showBubbleSize val="0"/>
        </c:dLbls>
        <c:gapWidth val="182"/>
        <c:axId val="1805913607"/>
        <c:axId val="1805927943"/>
      </c:barChart>
      <c:catAx>
        <c:axId val="1805913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000000"/>
                </a:solidFill>
                <a:latin typeface="+mn-lt"/>
                <a:ea typeface="+mn-ea"/>
                <a:cs typeface="+mn-cs"/>
              </a:defRPr>
            </a:pPr>
            <a:endParaRPr lang="en-US"/>
          </a:p>
        </c:txPr>
        <c:crossAx val="1805927943"/>
        <c:crosses val="autoZero"/>
        <c:auto val="1"/>
        <c:lblAlgn val="ctr"/>
        <c:lblOffset val="100"/>
        <c:noMultiLvlLbl val="0"/>
      </c:catAx>
      <c:valAx>
        <c:axId val="1805927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crossAx val="1805913607"/>
        <c:crosses val="autoZero"/>
        <c:crossBetween val="between"/>
        <c:majorUnit val="5"/>
        <c:minorUnit val="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t>SUS Questionnaire Answer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lotArea>
      <c:layout/>
      <c:barChart>
        <c:barDir val="col"/>
        <c:grouping val="percentStacked"/>
        <c:varyColors val="0"/>
        <c:ser>
          <c:idx val="0"/>
          <c:order val="0"/>
          <c:tx>
            <c:strRef>
              <c:f>Sheet2!A20</c:f>
              <c:strCache>
                <c:ptCount val="1"/>
                <c:pt idx="0">
                  <c:v>Strongly Agree</c:v>
                </c:pt>
              </c:strCache>
            </c:strRef>
          </c:tx>
          <c:spPr>
            <a:solidFill>
              <a:srgbClr val="375623"/>
            </a:solidFill>
            <a:ln>
              <a:noFill/>
            </a:ln>
            <a:effectLst/>
          </c:spPr>
          <c:invertIfNegative val="0"/>
          <c:cat>
            <c:strRef>
              <c:f>Sheet2!$B$19:$K$19</c:f>
              <c:strCache>
                <c:ptCount val="10"/>
                <c:pt idx="0">
                  <c:v>I think that I would like to use this system frequently when researching UK politics.</c:v>
                </c:pt>
                <c:pt idx="1">
                  <c:v>I found the website unnecessarily complex.</c:v>
                </c:pt>
                <c:pt idx="2">
                  <c:v>I thought the website was easy to use.</c:v>
                </c:pt>
                <c:pt idx="3">
                  <c:v>I think that I would need the support of a technical person to be able to use the website.</c:v>
                </c:pt>
                <c:pt idx="4">
                  <c:v>I found the various functions in the website were well integrated.</c:v>
                </c:pt>
                <c:pt idx="5">
                  <c:v>I thought there was too much inconsistency in the website.</c:v>
                </c:pt>
                <c:pt idx="6">
                  <c:v>I would imagine that most people would learn to use this website very quickly.</c:v>
                </c:pt>
                <c:pt idx="7">
                  <c:v>I found the website very cumbersome to use.</c:v>
                </c:pt>
                <c:pt idx="8">
                  <c:v>I felt very confident using the website.</c:v>
                </c:pt>
                <c:pt idx="9">
                  <c:v>I needed to learn a lot of things before I could get going with the website.</c:v>
                </c:pt>
              </c:strCache>
            </c:strRef>
          </c:cat>
          <c:val>
            <c:numRef>
              <c:f>Sheet2!$B$20:$K$20</c:f>
              <c:numCache>
                <c:formatCode>General</c:formatCode>
                <c:ptCount val="10"/>
                <c:pt idx="0">
                  <c:v>8</c:v>
                </c:pt>
                <c:pt idx="1">
                  <c:v>0</c:v>
                </c:pt>
                <c:pt idx="2">
                  <c:v>12</c:v>
                </c:pt>
                <c:pt idx="3">
                  <c:v>0</c:v>
                </c:pt>
                <c:pt idx="4">
                  <c:v>12</c:v>
                </c:pt>
                <c:pt idx="5">
                  <c:v>0</c:v>
                </c:pt>
                <c:pt idx="6">
                  <c:v>12</c:v>
                </c:pt>
                <c:pt idx="7">
                  <c:v>1</c:v>
                </c:pt>
                <c:pt idx="8">
                  <c:v>8</c:v>
                </c:pt>
                <c:pt idx="9">
                  <c:v>0</c:v>
                </c:pt>
              </c:numCache>
            </c:numRef>
          </c:val>
          <c:extLst>
            <c:ext xmlns:c16="http://schemas.microsoft.com/office/drawing/2014/chart" uri="{C3380CC4-5D6E-409C-BE32-E72D297353CC}">
              <c16:uniqueId val="{C2508827-6FE3-4B95-80A1-D3C314F53518}"/>
            </c:ext>
          </c:extLst>
        </c:ser>
        <c:ser>
          <c:idx val="1"/>
          <c:order val="1"/>
          <c:tx>
            <c:strRef>
              <c:f>Sheet2!A21</c:f>
              <c:strCache>
                <c:ptCount val="1"/>
                <c:pt idx="0">
                  <c:v>Agree</c:v>
                </c:pt>
              </c:strCache>
            </c:strRef>
          </c:tx>
          <c:spPr>
            <a:solidFill>
              <a:srgbClr val="92D050"/>
            </a:solidFill>
            <a:ln>
              <a:noFill/>
            </a:ln>
            <a:effectLst/>
          </c:spPr>
          <c:invertIfNegative val="0"/>
          <c:cat>
            <c:strRef>
              <c:f>Sheet2!$B$19:$K$19</c:f>
              <c:strCache>
                <c:ptCount val="10"/>
                <c:pt idx="0">
                  <c:v>I think that I would like to use this system frequently when researching UK politics.</c:v>
                </c:pt>
                <c:pt idx="1">
                  <c:v>I found the website unnecessarily complex.</c:v>
                </c:pt>
                <c:pt idx="2">
                  <c:v>I thought the website was easy to use.</c:v>
                </c:pt>
                <c:pt idx="3">
                  <c:v>I think that I would need the support of a technical person to be able to use the website.</c:v>
                </c:pt>
                <c:pt idx="4">
                  <c:v>I found the various functions in the website were well integrated.</c:v>
                </c:pt>
                <c:pt idx="5">
                  <c:v>I thought there was too much inconsistency in the website.</c:v>
                </c:pt>
                <c:pt idx="6">
                  <c:v>I would imagine that most people would learn to use this website very quickly.</c:v>
                </c:pt>
                <c:pt idx="7">
                  <c:v>I found the website very cumbersome to use.</c:v>
                </c:pt>
                <c:pt idx="8">
                  <c:v>I felt very confident using the website.</c:v>
                </c:pt>
                <c:pt idx="9">
                  <c:v>I needed to learn a lot of things before I could get going with the website.</c:v>
                </c:pt>
              </c:strCache>
            </c:strRef>
          </c:cat>
          <c:val>
            <c:numRef>
              <c:f>Sheet2!$B$21:$K$21</c:f>
              <c:numCache>
                <c:formatCode>General</c:formatCode>
                <c:ptCount val="10"/>
                <c:pt idx="0">
                  <c:v>8</c:v>
                </c:pt>
                <c:pt idx="1">
                  <c:v>0</c:v>
                </c:pt>
                <c:pt idx="2">
                  <c:v>5</c:v>
                </c:pt>
                <c:pt idx="3">
                  <c:v>0</c:v>
                </c:pt>
                <c:pt idx="4">
                  <c:v>5</c:v>
                </c:pt>
                <c:pt idx="5">
                  <c:v>0</c:v>
                </c:pt>
                <c:pt idx="6">
                  <c:v>4</c:v>
                </c:pt>
                <c:pt idx="7">
                  <c:v>0</c:v>
                </c:pt>
                <c:pt idx="8">
                  <c:v>8</c:v>
                </c:pt>
                <c:pt idx="9">
                  <c:v>0</c:v>
                </c:pt>
              </c:numCache>
            </c:numRef>
          </c:val>
          <c:extLst>
            <c:ext xmlns:c16="http://schemas.microsoft.com/office/drawing/2014/chart" uri="{C3380CC4-5D6E-409C-BE32-E72D297353CC}">
              <c16:uniqueId val="{7C4FC78C-CBE4-4070-9BA8-8AE0A5D863DE}"/>
            </c:ext>
          </c:extLst>
        </c:ser>
        <c:ser>
          <c:idx val="2"/>
          <c:order val="2"/>
          <c:tx>
            <c:strRef>
              <c:f>Sheet2!A22</c:f>
              <c:strCache>
                <c:ptCount val="1"/>
                <c:pt idx="0">
                  <c:v>Neither Agree nor Disagree</c:v>
                </c:pt>
              </c:strCache>
            </c:strRef>
          </c:tx>
          <c:spPr>
            <a:solidFill>
              <a:srgbClr val="808080"/>
            </a:solidFill>
            <a:ln>
              <a:noFill/>
            </a:ln>
            <a:effectLst/>
          </c:spPr>
          <c:invertIfNegative val="0"/>
          <c:cat>
            <c:strRef>
              <c:f>Sheet2!$B$19:$K$19</c:f>
              <c:strCache>
                <c:ptCount val="10"/>
                <c:pt idx="0">
                  <c:v>I think that I would like to use this system frequently when researching UK politics.</c:v>
                </c:pt>
                <c:pt idx="1">
                  <c:v>I found the website unnecessarily complex.</c:v>
                </c:pt>
                <c:pt idx="2">
                  <c:v>I thought the website was easy to use.</c:v>
                </c:pt>
                <c:pt idx="3">
                  <c:v>I think that I would need the support of a technical person to be able to use the website.</c:v>
                </c:pt>
                <c:pt idx="4">
                  <c:v>I found the various functions in the website were well integrated.</c:v>
                </c:pt>
                <c:pt idx="5">
                  <c:v>I thought there was too much inconsistency in the website.</c:v>
                </c:pt>
                <c:pt idx="6">
                  <c:v>I would imagine that most people would learn to use this website very quickly.</c:v>
                </c:pt>
                <c:pt idx="7">
                  <c:v>I found the website very cumbersome to use.</c:v>
                </c:pt>
                <c:pt idx="8">
                  <c:v>I felt very confident using the website.</c:v>
                </c:pt>
                <c:pt idx="9">
                  <c:v>I needed to learn a lot of things before I could get going with the website.</c:v>
                </c:pt>
              </c:strCache>
            </c:strRef>
          </c:cat>
          <c:val>
            <c:numRef>
              <c:f>Sheet2!$B$22:$K$22</c:f>
              <c:numCache>
                <c:formatCode>General</c:formatCode>
                <c:ptCount val="10"/>
                <c:pt idx="0">
                  <c:v>0</c:v>
                </c:pt>
                <c:pt idx="1">
                  <c:v>0</c:v>
                </c:pt>
                <c:pt idx="2">
                  <c:v>0</c:v>
                </c:pt>
                <c:pt idx="3">
                  <c:v>0</c:v>
                </c:pt>
                <c:pt idx="4">
                  <c:v>0</c:v>
                </c:pt>
                <c:pt idx="5">
                  <c:v>0</c:v>
                </c:pt>
                <c:pt idx="6">
                  <c:v>1</c:v>
                </c:pt>
                <c:pt idx="7">
                  <c:v>1</c:v>
                </c:pt>
                <c:pt idx="8">
                  <c:v>1</c:v>
                </c:pt>
                <c:pt idx="9">
                  <c:v>0</c:v>
                </c:pt>
              </c:numCache>
            </c:numRef>
          </c:val>
          <c:extLst>
            <c:ext xmlns:c16="http://schemas.microsoft.com/office/drawing/2014/chart" uri="{C3380CC4-5D6E-409C-BE32-E72D297353CC}">
              <c16:uniqueId val="{80DA7277-A308-41CA-B1EC-E06E9930AE62}"/>
            </c:ext>
          </c:extLst>
        </c:ser>
        <c:ser>
          <c:idx val="3"/>
          <c:order val="3"/>
          <c:tx>
            <c:strRef>
              <c:f>Sheet2!A23</c:f>
              <c:strCache>
                <c:ptCount val="1"/>
                <c:pt idx="0">
                  <c:v>Disagree</c:v>
                </c:pt>
              </c:strCache>
            </c:strRef>
          </c:tx>
          <c:spPr>
            <a:solidFill>
              <a:srgbClr val="BDD7EE"/>
            </a:solidFill>
            <a:ln>
              <a:noFill/>
            </a:ln>
            <a:effectLst/>
          </c:spPr>
          <c:invertIfNegative val="0"/>
          <c:cat>
            <c:strRef>
              <c:f>Sheet2!$B$19:$K$19</c:f>
              <c:strCache>
                <c:ptCount val="10"/>
                <c:pt idx="0">
                  <c:v>I think that I would like to use this system frequently when researching UK politics.</c:v>
                </c:pt>
                <c:pt idx="1">
                  <c:v>I found the website unnecessarily complex.</c:v>
                </c:pt>
                <c:pt idx="2">
                  <c:v>I thought the website was easy to use.</c:v>
                </c:pt>
                <c:pt idx="3">
                  <c:v>I think that I would need the support of a technical person to be able to use the website.</c:v>
                </c:pt>
                <c:pt idx="4">
                  <c:v>I found the various functions in the website were well integrated.</c:v>
                </c:pt>
                <c:pt idx="5">
                  <c:v>I thought there was too much inconsistency in the website.</c:v>
                </c:pt>
                <c:pt idx="6">
                  <c:v>I would imagine that most people would learn to use this website very quickly.</c:v>
                </c:pt>
                <c:pt idx="7">
                  <c:v>I found the website very cumbersome to use.</c:v>
                </c:pt>
                <c:pt idx="8">
                  <c:v>I felt very confident using the website.</c:v>
                </c:pt>
                <c:pt idx="9">
                  <c:v>I needed to learn a lot of things before I could get going with the website.</c:v>
                </c:pt>
              </c:strCache>
            </c:strRef>
          </c:cat>
          <c:val>
            <c:numRef>
              <c:f>Sheet2!$B$23:$K$23</c:f>
              <c:numCache>
                <c:formatCode>General</c:formatCode>
                <c:ptCount val="10"/>
                <c:pt idx="0">
                  <c:v>1</c:v>
                </c:pt>
                <c:pt idx="1">
                  <c:v>7</c:v>
                </c:pt>
                <c:pt idx="2">
                  <c:v>0</c:v>
                </c:pt>
                <c:pt idx="3">
                  <c:v>5</c:v>
                </c:pt>
                <c:pt idx="4">
                  <c:v>0</c:v>
                </c:pt>
                <c:pt idx="5">
                  <c:v>7</c:v>
                </c:pt>
                <c:pt idx="6">
                  <c:v>0</c:v>
                </c:pt>
                <c:pt idx="7">
                  <c:v>4</c:v>
                </c:pt>
                <c:pt idx="8">
                  <c:v>0</c:v>
                </c:pt>
                <c:pt idx="9">
                  <c:v>7</c:v>
                </c:pt>
              </c:numCache>
            </c:numRef>
          </c:val>
          <c:extLst>
            <c:ext xmlns:c16="http://schemas.microsoft.com/office/drawing/2014/chart" uri="{C3380CC4-5D6E-409C-BE32-E72D297353CC}">
              <c16:uniqueId val="{3003DAF5-FC51-47DF-92E2-B6EE05CCA024}"/>
            </c:ext>
          </c:extLst>
        </c:ser>
        <c:ser>
          <c:idx val="4"/>
          <c:order val="4"/>
          <c:tx>
            <c:strRef>
              <c:f>Sheet2!A24</c:f>
              <c:strCache>
                <c:ptCount val="1"/>
                <c:pt idx="0">
                  <c:v>Strongly Disagree</c:v>
                </c:pt>
              </c:strCache>
            </c:strRef>
          </c:tx>
          <c:spPr>
            <a:solidFill>
              <a:srgbClr val="002060"/>
            </a:solidFill>
            <a:ln>
              <a:noFill/>
            </a:ln>
            <a:effectLst/>
          </c:spPr>
          <c:invertIfNegative val="0"/>
          <c:cat>
            <c:strRef>
              <c:f>Sheet2!$B$19:$K$19</c:f>
              <c:strCache>
                <c:ptCount val="10"/>
                <c:pt idx="0">
                  <c:v>I think that I would like to use this system frequently when researching UK politics.</c:v>
                </c:pt>
                <c:pt idx="1">
                  <c:v>I found the website unnecessarily complex.</c:v>
                </c:pt>
                <c:pt idx="2">
                  <c:v>I thought the website was easy to use.</c:v>
                </c:pt>
                <c:pt idx="3">
                  <c:v>I think that I would need the support of a technical person to be able to use the website.</c:v>
                </c:pt>
                <c:pt idx="4">
                  <c:v>I found the various functions in the website were well integrated.</c:v>
                </c:pt>
                <c:pt idx="5">
                  <c:v>I thought there was too much inconsistency in the website.</c:v>
                </c:pt>
                <c:pt idx="6">
                  <c:v>I would imagine that most people would learn to use this website very quickly.</c:v>
                </c:pt>
                <c:pt idx="7">
                  <c:v>I found the website very cumbersome to use.</c:v>
                </c:pt>
                <c:pt idx="8">
                  <c:v>I felt very confident using the website.</c:v>
                </c:pt>
                <c:pt idx="9">
                  <c:v>I needed to learn a lot of things before I could get going with the website.</c:v>
                </c:pt>
              </c:strCache>
            </c:strRef>
          </c:cat>
          <c:val>
            <c:numRef>
              <c:f>Sheet2!$B$24:$K$24</c:f>
              <c:numCache>
                <c:formatCode>General</c:formatCode>
                <c:ptCount val="10"/>
                <c:pt idx="0">
                  <c:v>0</c:v>
                </c:pt>
                <c:pt idx="1">
                  <c:v>10</c:v>
                </c:pt>
                <c:pt idx="2">
                  <c:v>0</c:v>
                </c:pt>
                <c:pt idx="3">
                  <c:v>12</c:v>
                </c:pt>
                <c:pt idx="4">
                  <c:v>0</c:v>
                </c:pt>
                <c:pt idx="5">
                  <c:v>10</c:v>
                </c:pt>
                <c:pt idx="6">
                  <c:v>0</c:v>
                </c:pt>
                <c:pt idx="7">
                  <c:v>11</c:v>
                </c:pt>
                <c:pt idx="8">
                  <c:v>0</c:v>
                </c:pt>
                <c:pt idx="9">
                  <c:v>10</c:v>
                </c:pt>
              </c:numCache>
            </c:numRef>
          </c:val>
          <c:extLst>
            <c:ext xmlns:c16="http://schemas.microsoft.com/office/drawing/2014/chart" uri="{C3380CC4-5D6E-409C-BE32-E72D297353CC}">
              <c16:uniqueId val="{55EE050D-ADFF-419E-8A12-0072DF8E1579}"/>
            </c:ext>
          </c:extLst>
        </c:ser>
        <c:dLbls>
          <c:showLegendKey val="0"/>
          <c:showVal val="0"/>
          <c:showCatName val="0"/>
          <c:showSerName val="0"/>
          <c:showPercent val="0"/>
          <c:showBubbleSize val="0"/>
        </c:dLbls>
        <c:gapWidth val="33"/>
        <c:overlap val="100"/>
        <c:axId val="1429310983"/>
        <c:axId val="1807828487"/>
      </c:barChart>
      <c:catAx>
        <c:axId val="1429310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807828487"/>
        <c:crosses val="autoZero"/>
        <c:auto val="1"/>
        <c:lblAlgn val="ctr"/>
        <c:lblOffset val="100"/>
        <c:noMultiLvlLbl val="0"/>
      </c:catAx>
      <c:valAx>
        <c:axId val="180782848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crossAx val="1429310983"/>
        <c:crosses val="autoZero"/>
        <c:crossBetween val="between"/>
        <c:majorUnit val="0.1"/>
        <c:minorUnit val="0.01"/>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18</xdr:col>
      <xdr:colOff>85725</xdr:colOff>
      <xdr:row>29</xdr:row>
      <xdr:rowOff>9525</xdr:rowOff>
    </xdr:from>
    <xdr:to>
      <xdr:col>24</xdr:col>
      <xdr:colOff>504825</xdr:colOff>
      <xdr:row>56</xdr:row>
      <xdr:rowOff>161925</xdr:rowOff>
    </xdr:to>
    <xdr:graphicFrame macro="">
      <xdr:nvGraphicFramePr>
        <xdr:cNvPr id="3" name="Chart 2" descr="Chart type: Clustered Column. 'Count'&#10;&#10;Description automatically generated">
          <a:extLst>
            <a:ext uri="{FF2B5EF4-FFF2-40B4-BE49-F238E27FC236}">
              <a16:creationId xmlns:a16="http://schemas.microsoft.com/office/drawing/2014/main" id="{490841E2-E444-95EE-CC6B-85121C25E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1323975</xdr:colOff>
      <xdr:row>85</xdr:row>
      <xdr:rowOff>142875</xdr:rowOff>
    </xdr:from>
    <xdr:to>
      <xdr:col>11</xdr:col>
      <xdr:colOff>0</xdr:colOff>
      <xdr:row>102</xdr:row>
      <xdr:rowOff>142875</xdr:rowOff>
    </xdr:to>
    <xdr:graphicFrame macro="">
      <xdr:nvGraphicFramePr>
        <xdr:cNvPr id="2" name="Chart 1">
          <a:extLst>
            <a:ext uri="{FF2B5EF4-FFF2-40B4-BE49-F238E27FC236}">
              <a16:creationId xmlns:a16="http://schemas.microsoft.com/office/drawing/2014/main" id="{A05275BA-35C4-2EF4-4036-B095E52D4217}"/>
            </a:ext>
            <a:ext uri="{147F2762-F138-4A5C-976F-8EAC2B608ADB}">
              <a16:predDERef xmlns:a16="http://schemas.microsoft.com/office/drawing/2014/main" pred="{490841E2-E444-95EE-CC6B-85121C25E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590550</xdr:colOff>
      <xdr:row>25</xdr:row>
      <xdr:rowOff>19050</xdr:rowOff>
    </xdr:from>
    <xdr:to>
      <xdr:col>16</xdr:col>
      <xdr:colOff>76200</xdr:colOff>
      <xdr:row>58</xdr:row>
      <xdr:rowOff>180975</xdr:rowOff>
    </xdr:to>
    <xdr:graphicFrame macro="">
      <xdr:nvGraphicFramePr>
        <xdr:cNvPr id="3" name="Chart 2" descr="Chart type: Stacked Column. Multiple values by 'Field1'&#10;&#10;Description automatically generated">
          <a:extLst>
            <a:ext uri="{FF2B5EF4-FFF2-40B4-BE49-F238E27FC236}">
              <a16:creationId xmlns:a16="http://schemas.microsoft.com/office/drawing/2014/main" id="{43DDD8B1-2468-3748-E20D-95FD1CA81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C19" totalsRowShown="0">
  <autoFilter ref="A1:AC19" xr:uid="{00000000-0009-0000-0100-000001000000}"/>
  <tableColumns count="29">
    <tableColumn id="1" xr3:uid="{00000000-0010-0000-0000-000001000000}" name="Id" dataDxfId="28">
      <extLst>
        <ext xmlns:xlmsforms="http://schemas.microsoft.com/office/spreadsheetml/2023/msForms" uri="{FCC71383-01E1-4257-9335-427F07BE8D7F}">
          <xlmsforms:question id="id"/>
        </ext>
      </extLst>
    </tableColumn>
    <tableColumn id="6" xr3:uid="{00000000-0010-0000-0000-000006000000}" name="How readable did you find the summarised manifesto on a scale of 1-10? 1 being least readable, 10 being most readable." dataDxfId="27">
      <extLst>
        <ext xmlns:xlmsforms="http://schemas.microsoft.com/office/spreadsheetml/2023/msForms" uri="{FCC71383-01E1-4257-9335-427F07BE8D7F}">
          <xlmsforms:question id="r77d4291aeaee467794c7cc23c56452e2"/>
        </ext>
      </extLst>
    </tableColumn>
    <tableColumn id="7" xr3:uid="{00000000-0010-0000-0000-000007000000}" name="How readable did you find the un-summarised manifesto on a scale of 1-10? 1 being least readable, 10 being most readable." dataDxfId="26">
      <extLst>
        <ext xmlns:xlmsforms="http://schemas.microsoft.com/office/spreadsheetml/2023/msForms" uri="{FCC71383-01E1-4257-9335-427F07BE8D7F}">
          <xlmsforms:question id="r51d7ef7c300c42a1840e991bdebe07cd"/>
        </ext>
      </extLst>
    </tableColumn>
    <tableColumn id="8" xr3:uid="{00000000-0010-0000-0000-000008000000}" name="How easy do you feel it was to learn about politics from the summarised manifesto on a scale of 1-10? 1 being hardest, 10 being the easiest." dataDxfId="25">
      <extLst>
        <ext xmlns:xlmsforms="http://schemas.microsoft.com/office/spreadsheetml/2023/msForms" uri="{FCC71383-01E1-4257-9335-427F07BE8D7F}">
          <xlmsforms:question id="rcfd18db1fcdb434db030ae61e3c5a617"/>
        </ext>
      </extLst>
    </tableColumn>
    <tableColumn id="9" xr3:uid="{00000000-0010-0000-0000-000009000000}" name="How easy do you feel it was to learn about politics from the un-summarised manifesto on a scale of 1-10? 1 being hardest, 10 being the easiest." dataDxfId="24">
      <extLst>
        <ext xmlns:xlmsforms="http://schemas.microsoft.com/office/spreadsheetml/2023/msForms" uri="{FCC71383-01E1-4257-9335-427F07BE8D7F}">
          <xlmsforms:question id="rafee9bb7e9fe41b7b40f8f88b6798e87"/>
        </ext>
      </extLst>
    </tableColumn>
    <tableColumn id="10" xr3:uid="{00000000-0010-0000-0000-00000A000000}" name="How understandable was the summarised manifesto on a scale of 1-10? 1 being least understandable, 10 being the very understandable." dataDxfId="23">
      <extLst>
        <ext xmlns:xlmsforms="http://schemas.microsoft.com/office/spreadsheetml/2023/msForms" uri="{FCC71383-01E1-4257-9335-427F07BE8D7F}">
          <xlmsforms:question id="r81fdee835ffd4d8ca21e8d07d19665b7"/>
        </ext>
      </extLst>
    </tableColumn>
    <tableColumn id="11" xr3:uid="{00000000-0010-0000-0000-00000B000000}" name="How understandable was the un-summarised manifesto on a scale of 1-10? 1 being least understandable, 10 being the very understandable." dataDxfId="22">
      <extLst>
        <ext xmlns:xlmsforms="http://schemas.microsoft.com/office/spreadsheetml/2023/msForms" uri="{FCC71383-01E1-4257-9335-427F07BE8D7F}">
          <xlmsforms:question id="re44e0ad8810c4e798ed5195d69819687"/>
        </ext>
      </extLst>
    </tableColumn>
    <tableColumn id="12" xr3:uid="{00000000-0010-0000-0000-00000C000000}" name="I think that I would like to use this system frequently when researching UK politics..Select one:" dataDxfId="21">
      <extLst>
        <ext xmlns:xlmsforms="http://schemas.microsoft.com/office/spreadsheetml/2023/msForms" uri="{FCC71383-01E1-4257-9335-427F07BE8D7F}">
          <xlmsforms:question id="r2b1db90dcfea468d937d91b7f369ff41"/>
        </ext>
      </extLst>
    </tableColumn>
    <tableColumn id="13" xr3:uid="{00000000-0010-0000-0000-00000D000000}" name="I found the website unnecessarily complex. .Select one:" dataDxfId="20">
      <extLst>
        <ext xmlns:xlmsforms="http://schemas.microsoft.com/office/spreadsheetml/2023/msForms" uri="{FCC71383-01E1-4257-9335-427F07BE8D7F}">
          <xlmsforms:question id="r6ec6ddffa4244bab9e53c8ae510bb566"/>
        </ext>
      </extLst>
    </tableColumn>
    <tableColumn id="14" xr3:uid="{00000000-0010-0000-0000-00000E000000}" name="I thought the website was easy to use..Select one:" dataDxfId="19">
      <extLst>
        <ext xmlns:xlmsforms="http://schemas.microsoft.com/office/spreadsheetml/2023/msForms" uri="{FCC71383-01E1-4257-9335-427F07BE8D7F}">
          <xlmsforms:question id="r25bed3ad65344516a57a8051b523224b"/>
        </ext>
      </extLst>
    </tableColumn>
    <tableColumn id="15" xr3:uid="{00000000-0010-0000-0000-00000F000000}" name="I think that I would need the support of a technical person to be able to use the website..Select one:" dataDxfId="18">
      <extLst>
        <ext xmlns:xlmsforms="http://schemas.microsoft.com/office/spreadsheetml/2023/msForms" uri="{FCC71383-01E1-4257-9335-427F07BE8D7F}">
          <xlmsforms:question id="rfebcd4731b6147e78a3372bab52124be"/>
        </ext>
      </extLst>
    </tableColumn>
    <tableColumn id="16" xr3:uid="{00000000-0010-0000-0000-000010000000}" name="I found the various functions in the website were well integrated..Select one:" dataDxfId="17">
      <extLst>
        <ext xmlns:xlmsforms="http://schemas.microsoft.com/office/spreadsheetml/2023/msForms" uri="{FCC71383-01E1-4257-9335-427F07BE8D7F}">
          <xlmsforms:question id="r4abe609416cf40d0b07a6158c2e0a227"/>
        </ext>
      </extLst>
    </tableColumn>
    <tableColumn id="17" xr3:uid="{00000000-0010-0000-0000-000011000000}" name="I thought there was too much inconsistency in the website..Select one:" dataDxfId="16">
      <extLst>
        <ext xmlns:xlmsforms="http://schemas.microsoft.com/office/spreadsheetml/2023/msForms" uri="{FCC71383-01E1-4257-9335-427F07BE8D7F}">
          <xlmsforms:question id="r1b96a48be5a14313a5d21fc8486bbdc0"/>
        </ext>
      </extLst>
    </tableColumn>
    <tableColumn id="18" xr3:uid="{00000000-0010-0000-0000-000012000000}" name="I would imagine that most people would learn to use this website very quickly..Select one:" dataDxfId="15">
      <extLst>
        <ext xmlns:xlmsforms="http://schemas.microsoft.com/office/spreadsheetml/2023/msForms" uri="{FCC71383-01E1-4257-9335-427F07BE8D7F}">
          <xlmsforms:question id="rf8a386034db245d39cef66e0e2db9296"/>
        </ext>
      </extLst>
    </tableColumn>
    <tableColumn id="19" xr3:uid="{00000000-0010-0000-0000-000013000000}" name="I found the website very cumbersome to use. .Select one:" dataDxfId="14">
      <extLst>
        <ext xmlns:xlmsforms="http://schemas.microsoft.com/office/spreadsheetml/2023/msForms" uri="{FCC71383-01E1-4257-9335-427F07BE8D7F}">
          <xlmsforms:question id="rab9ed1a46d7a45fd9af57850d37b611b"/>
        </ext>
      </extLst>
    </tableColumn>
    <tableColumn id="20" xr3:uid="{00000000-0010-0000-0000-000014000000}" name="I felt very confident using the website..Select one:" dataDxfId="13">
      <extLst>
        <ext xmlns:xlmsforms="http://schemas.microsoft.com/office/spreadsheetml/2023/msForms" uri="{FCC71383-01E1-4257-9335-427F07BE8D7F}">
          <xlmsforms:question id="r1059a2c3d4f1472099dbf303f8372519"/>
        </ext>
      </extLst>
    </tableColumn>
    <tableColumn id="21" xr3:uid="{00000000-0010-0000-0000-000015000000}" name="I needed to learn a lot of things before I could get going with the website. .Select one:" dataDxfId="12">
      <extLst>
        <ext xmlns:xlmsforms="http://schemas.microsoft.com/office/spreadsheetml/2023/msForms" uri="{FCC71383-01E1-4257-9335-427F07BE8D7F}">
          <xlmsforms:question id="r46b8765dd16a40ab86a0dd6aebcddeea"/>
        </ext>
      </extLst>
    </tableColumn>
    <tableColumn id="22" xr3:uid="{00000000-0010-0000-0000-000016000000}" name="In your own words, how would you describe the difference between reading the full manifesto and the summarised version?" dataDxfId="11">
      <extLst>
        <ext xmlns:xlmsforms="http://schemas.microsoft.com/office/spreadsheetml/2023/msForms" uri="{FCC71383-01E1-4257-9335-427F07BE8D7F}">
          <xlmsforms:question id="re6735cf7db89423e98bd560a088a355a"/>
        </ext>
      </extLst>
    </tableColumn>
    <tableColumn id="23" xr3:uid="{00000000-0010-0000-0000-000017000000}" name="Name the features you enjoyed on the website." dataDxfId="10">
      <extLst>
        <ext xmlns:xlmsforms="http://schemas.microsoft.com/office/spreadsheetml/2023/msForms" uri="{FCC71383-01E1-4257-9335-427F07BE8D7F}">
          <xlmsforms:question id="r65c80812894d404398618c43f7f3b977"/>
        </ext>
      </extLst>
    </tableColumn>
    <tableColumn id="24" xr3:uid="{00000000-0010-0000-0000-000018000000}" name="Name the features you disliked on the website." dataDxfId="9">
      <extLst>
        <ext xmlns:xlmsforms="http://schemas.microsoft.com/office/spreadsheetml/2023/msForms" uri="{FCC71383-01E1-4257-9335-427F07BE8D7F}">
          <xlmsforms:question id="r170eb01ab40c42c684a13f0076eb4949"/>
        </ext>
      </extLst>
    </tableColumn>
    <tableColumn id="25" xr3:uid="{00000000-0010-0000-0000-000019000000}" name="Which part of the summarisation page did you find most useful?" dataDxfId="8">
      <extLst>
        <ext xmlns:xlmsforms="http://schemas.microsoft.com/office/spreadsheetml/2023/msForms" uri="{FCC71383-01E1-4257-9335-427F07BE8D7F}">
          <xlmsforms:question id="r4afdbc52730c4e14abe83e7f38895f90"/>
        </ext>
      </extLst>
    </tableColumn>
    <tableColumn id="26" xr3:uid="{00000000-0010-0000-0000-00001A000000}" name="Did you feel that the summarised manifesto page enhanced your understanding of UK political manifestos?" dataDxfId="7">
      <extLst>
        <ext xmlns:xlmsforms="http://schemas.microsoft.com/office/spreadsheetml/2023/msForms" uri="{FCC71383-01E1-4257-9335-427F07BE8D7F}">
          <xlmsforms:question id="r17b15c94fab146ecb12b359fb975619c"/>
        </ext>
      </extLst>
    </tableColumn>
    <tableColumn id="27" xr3:uid="{00000000-0010-0000-0000-00001B000000}" name="Did you feel that the visualisations improved your understanding of UK political manifestos?" dataDxfId="6">
      <extLst>
        <ext xmlns:xlmsforms="http://schemas.microsoft.com/office/spreadsheetml/2023/msForms" uri="{FCC71383-01E1-4257-9335-427F07BE8D7F}">
          <xlmsforms:question id="r084fe0ae56164f34ad58abbfe83a3da3"/>
        </ext>
      </extLst>
    </tableColumn>
    <tableColumn id="28" xr3:uid="{00000000-0010-0000-0000-00001C000000}" name="Do you feel that your experience with this website has made you more politically engaged?" dataDxfId="5">
      <extLst>
        <ext xmlns:xlmsforms="http://schemas.microsoft.com/office/spreadsheetml/2023/msForms" uri="{FCC71383-01E1-4257-9335-427F07BE8D7F}">
          <xlmsforms:question id="rd5aa4e7aab53458c8d2ff176b813f9f3"/>
        </ext>
      </extLst>
    </tableColumn>
    <tableColumn id="29" xr3:uid="{00000000-0010-0000-0000-00001D000000}" name="Did your experience with this website make you more inclined to vote?" dataDxfId="4">
      <extLst>
        <ext xmlns:xlmsforms="http://schemas.microsoft.com/office/spreadsheetml/2023/msForms" uri="{FCC71383-01E1-4257-9335-427F07BE8D7F}">
          <xlmsforms:question id="ra6e9f95dc58a469ea08f9e1908f7c3c6"/>
        </ext>
      </extLst>
    </tableColumn>
    <tableColumn id="30" xr3:uid="{00000000-0010-0000-0000-00001E000000}" name="Does the information presented make you feel more confident when voting or being politically engaged?" dataDxfId="3">
      <extLst>
        <ext xmlns:xlmsforms="http://schemas.microsoft.com/office/spreadsheetml/2023/msForms" uri="{FCC71383-01E1-4257-9335-427F07BE8D7F}">
          <xlmsforms:question id="r87310bc87dc34a2298bf2b3ee3ae4791"/>
        </ext>
      </extLst>
    </tableColumn>
    <tableColumn id="31" xr3:uid="{00000000-0010-0000-0000-00001F000000}" name="Does the information presented make you feel more confused about UK politics?" dataDxfId="2">
      <extLst>
        <ext xmlns:xlmsforms="http://schemas.microsoft.com/office/spreadsheetml/2023/msForms" uri="{FCC71383-01E1-4257-9335-427F07BE8D7F}">
          <xlmsforms:question id="r8b6cc347097c49cf81881e1ea306436a"/>
        </ext>
      </extLst>
    </tableColumn>
    <tableColumn id="32" xr3:uid="{00000000-0010-0000-0000-000020000000}" name="What was the most memorable part of your experience using this website (good or bad)?" dataDxfId="1">
      <extLst>
        <ext xmlns:xlmsforms="http://schemas.microsoft.com/office/spreadsheetml/2023/msForms" uri="{FCC71383-01E1-4257-9335-427F07BE8D7F}">
          <xlmsforms:question id="r84c345c9d818433aae0bf1ba016c0529"/>
        </ext>
      </extLst>
    </tableColumn>
    <tableColumn id="33" xr3:uid="{00000000-0010-0000-0000-000021000000}" name="If you had to summarise your overall impression of the website in a few sentences, what would you say?" dataDxfId="0">
      <extLst>
        <ext xmlns:xlmsforms="http://schemas.microsoft.com/office/spreadsheetml/2023/msForms" uri="{FCC71383-01E1-4257-9335-427F07BE8D7F}">
          <xlmsforms:question id="rf96de3df99694f779cb7157b132ecff8"/>
        </ext>
      </extLst>
    </tableColumn>
  </tableColumns>
  <tableStyleInfo name="TableStyleMedium2" showFirstColumn="0" showLastColumn="0" showRowStripes="1" showColumnStripes="0"/>
  <extLst>
    <ext xmlns:xlmsforms="http://schemas.microsoft.com/office/spreadsheetml/2023/msForms" uri="{839C7E11-91E4-4DBD-9C5D-0DEA604FA9AC}">
      <xlmsforms:msForm id="8l9CbGVo30Kk245q9jSBPWsmpUK-TLhOtm7j6HaDddxUNzRJR1ZHNTJXOTlFSlhMOEtQOUFHRTZKNC4u" isFormConnected="1" maxResponseId="17" latestEventMarker="4">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r77d4291aeaee467794c7cc23c56452e2</xlmsforms:syncedQuestionId>
        <xlmsforms:syncedQuestionId>r51d7ef7c300c42a1840e991bdebe07cd</xlmsforms:syncedQuestionId>
        <xlmsforms:syncedQuestionId>rcfd18db1fcdb434db030ae61e3c5a617</xlmsforms:syncedQuestionId>
        <xlmsforms:syncedQuestionId>rafee9bb7e9fe41b7b40f8f88b6798e87</xlmsforms:syncedQuestionId>
        <xlmsforms:syncedQuestionId>r81fdee835ffd4d8ca21e8d07d19665b7</xlmsforms:syncedQuestionId>
        <xlmsforms:syncedQuestionId>re44e0ad8810c4e798ed5195d69819687</xlmsforms:syncedQuestionId>
        <xlmsforms:syncedQuestionId>r2b1db90dcfea468d937d91b7f369ff41</xlmsforms:syncedQuestionId>
        <xlmsforms:syncedQuestionId>r6ec6ddffa4244bab9e53c8ae510bb566</xlmsforms:syncedQuestionId>
        <xlmsforms:syncedQuestionId>r25bed3ad65344516a57a8051b523224b</xlmsforms:syncedQuestionId>
        <xlmsforms:syncedQuestionId>rfebcd4731b6147e78a3372bab52124be</xlmsforms:syncedQuestionId>
        <xlmsforms:syncedQuestionId>r4abe609416cf40d0b07a6158c2e0a227</xlmsforms:syncedQuestionId>
        <xlmsforms:syncedQuestionId>r1b96a48be5a14313a5d21fc8486bbdc0</xlmsforms:syncedQuestionId>
        <xlmsforms:syncedQuestionId>rf8a386034db245d39cef66e0e2db9296</xlmsforms:syncedQuestionId>
        <xlmsforms:syncedQuestionId>rab9ed1a46d7a45fd9af57850d37b611b</xlmsforms:syncedQuestionId>
        <xlmsforms:syncedQuestionId>r1059a2c3d4f1472099dbf303f8372519</xlmsforms:syncedQuestionId>
        <xlmsforms:syncedQuestionId>r46b8765dd16a40ab86a0dd6aebcddeea</xlmsforms:syncedQuestionId>
        <xlmsforms:syncedQuestionId>re6735cf7db89423e98bd560a088a355a</xlmsforms:syncedQuestionId>
        <xlmsforms:syncedQuestionId>r65c80812894d404398618c43f7f3b977</xlmsforms:syncedQuestionId>
        <xlmsforms:syncedQuestionId>r170eb01ab40c42c684a13f0076eb4949</xlmsforms:syncedQuestionId>
        <xlmsforms:syncedQuestionId>r4afdbc52730c4e14abe83e7f38895f90</xlmsforms:syncedQuestionId>
        <xlmsforms:syncedQuestionId>r17b15c94fab146ecb12b359fb975619c</xlmsforms:syncedQuestionId>
        <xlmsforms:syncedQuestionId>r084fe0ae56164f34ad58abbfe83a3da3</xlmsforms:syncedQuestionId>
        <xlmsforms:syncedQuestionId>rd5aa4e7aab53458c8d2ff176b813f9f3</xlmsforms:syncedQuestionId>
        <xlmsforms:syncedQuestionId>ra6e9f95dc58a469ea08f9e1908f7c3c6</xlmsforms:syncedQuestionId>
        <xlmsforms:syncedQuestionId>r87310bc87dc34a2298bf2b3ee3ae4791</xlmsforms:syncedQuestionId>
        <xlmsforms:syncedQuestionId>r8b6cc347097c49cf81881e1ea306436a</xlmsforms:syncedQuestionId>
        <xlmsforms:syncedQuestionId>r84c345c9d818433aae0bf1ba016c0529</xlmsforms:syncedQuestionId>
        <xlmsforms:syncedQuestionId>rf96de3df99694f779cb7157b132ecff8</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5"/>
  <sheetViews>
    <sheetView tabSelected="1" topLeftCell="A66" workbookViewId="0">
      <selection activeCell="D81" sqref="C81:D81"/>
    </sheetView>
  </sheetViews>
  <sheetFormatPr defaultRowHeight="15"/>
  <cols>
    <col min="1" max="1" width="20" bestFit="1" customWidth="1"/>
    <col min="2" max="2" width="30.28515625" customWidth="1"/>
    <col min="3" max="17" width="20" bestFit="1" customWidth="1"/>
    <col min="18" max="18" width="51.28515625" customWidth="1"/>
    <col min="19" max="21" width="20" bestFit="1" customWidth="1"/>
    <col min="22" max="22" width="40.28515625" customWidth="1"/>
    <col min="23" max="29" width="20" bestFit="1" customWidth="1"/>
  </cols>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v>1</v>
      </c>
      <c r="B2">
        <v>9</v>
      </c>
      <c r="C2">
        <v>5</v>
      </c>
      <c r="D2">
        <v>8</v>
      </c>
      <c r="E2">
        <v>3</v>
      </c>
      <c r="F2">
        <v>9</v>
      </c>
      <c r="G2">
        <v>2</v>
      </c>
      <c r="H2">
        <v>5</v>
      </c>
      <c r="I2">
        <v>1</v>
      </c>
      <c r="J2">
        <v>5</v>
      </c>
      <c r="K2">
        <v>1</v>
      </c>
      <c r="L2">
        <v>5</v>
      </c>
      <c r="M2">
        <v>1</v>
      </c>
      <c r="N2">
        <v>4</v>
      </c>
      <c r="O2">
        <v>1</v>
      </c>
      <c r="P2">
        <v>4</v>
      </c>
      <c r="Q2">
        <v>1</v>
      </c>
      <c r="R2" t="s">
        <v>29</v>
      </c>
      <c r="S2" t="s">
        <v>30</v>
      </c>
      <c r="T2" t="s">
        <v>31</v>
      </c>
      <c r="U2" t="s">
        <v>32</v>
      </c>
      <c r="V2" t="s">
        <v>33</v>
      </c>
      <c r="W2" t="s">
        <v>33</v>
      </c>
      <c r="X2" t="s">
        <v>33</v>
      </c>
      <c r="Y2" t="s">
        <v>33</v>
      </c>
      <c r="Z2" t="s">
        <v>33</v>
      </c>
      <c r="AA2" t="s">
        <v>34</v>
      </c>
      <c r="AB2" t="s">
        <v>35</v>
      </c>
      <c r="AC2" t="s">
        <v>36</v>
      </c>
    </row>
    <row r="3" spans="1:29">
      <c r="A3">
        <v>2</v>
      </c>
      <c r="B3">
        <v>9</v>
      </c>
      <c r="C3">
        <v>2</v>
      </c>
      <c r="D3">
        <v>8</v>
      </c>
      <c r="E3">
        <v>5</v>
      </c>
      <c r="F3">
        <v>10</v>
      </c>
      <c r="G3">
        <v>3</v>
      </c>
      <c r="H3">
        <v>5</v>
      </c>
      <c r="I3">
        <v>1</v>
      </c>
      <c r="J3">
        <v>4</v>
      </c>
      <c r="K3">
        <v>1</v>
      </c>
      <c r="L3">
        <v>5</v>
      </c>
      <c r="M3">
        <v>1</v>
      </c>
      <c r="N3">
        <v>5</v>
      </c>
      <c r="O3">
        <v>1</v>
      </c>
      <c r="P3">
        <v>4</v>
      </c>
      <c r="Q3">
        <v>1</v>
      </c>
      <c r="R3" t="s">
        <v>37</v>
      </c>
      <c r="S3" t="s">
        <v>38</v>
      </c>
      <c r="T3" t="s">
        <v>39</v>
      </c>
      <c r="U3" t="s">
        <v>40</v>
      </c>
      <c r="V3" t="s">
        <v>33</v>
      </c>
      <c r="W3" t="s">
        <v>33</v>
      </c>
      <c r="X3" t="s">
        <v>34</v>
      </c>
      <c r="Y3" t="s">
        <v>34</v>
      </c>
      <c r="Z3" t="s">
        <v>34</v>
      </c>
      <c r="AA3" t="s">
        <v>34</v>
      </c>
      <c r="AB3" t="s">
        <v>41</v>
      </c>
      <c r="AC3" t="s">
        <v>42</v>
      </c>
    </row>
    <row r="4" spans="1:29">
      <c r="A4">
        <v>3</v>
      </c>
      <c r="B4">
        <v>10</v>
      </c>
      <c r="C4">
        <v>6</v>
      </c>
      <c r="D4">
        <v>9</v>
      </c>
      <c r="E4">
        <v>4</v>
      </c>
      <c r="F4">
        <v>9</v>
      </c>
      <c r="G4">
        <v>2</v>
      </c>
      <c r="H4">
        <v>5</v>
      </c>
      <c r="I4">
        <v>1</v>
      </c>
      <c r="J4">
        <v>5</v>
      </c>
      <c r="K4">
        <v>1</v>
      </c>
      <c r="L4">
        <v>5</v>
      </c>
      <c r="M4">
        <v>1</v>
      </c>
      <c r="N4">
        <v>5</v>
      </c>
      <c r="O4">
        <v>1</v>
      </c>
      <c r="P4">
        <v>5</v>
      </c>
      <c r="Q4">
        <v>1</v>
      </c>
      <c r="R4" t="s">
        <v>43</v>
      </c>
      <c r="S4" t="s">
        <v>44</v>
      </c>
      <c r="T4" t="s">
        <v>45</v>
      </c>
      <c r="U4" t="s">
        <v>40</v>
      </c>
      <c r="V4" t="s">
        <v>33</v>
      </c>
      <c r="W4" t="s">
        <v>33</v>
      </c>
      <c r="X4" t="s">
        <v>33</v>
      </c>
      <c r="Y4" t="s">
        <v>33</v>
      </c>
      <c r="Z4" t="s">
        <v>33</v>
      </c>
      <c r="AA4" t="s">
        <v>34</v>
      </c>
      <c r="AB4" t="s">
        <v>46</v>
      </c>
      <c r="AC4" t="s">
        <v>47</v>
      </c>
    </row>
    <row r="5" spans="1:29">
      <c r="A5">
        <v>4</v>
      </c>
      <c r="B5">
        <v>5</v>
      </c>
      <c r="C5">
        <v>8</v>
      </c>
      <c r="D5">
        <v>5</v>
      </c>
      <c r="E5">
        <v>9</v>
      </c>
      <c r="F5">
        <v>8</v>
      </c>
      <c r="G5">
        <v>8</v>
      </c>
      <c r="H5">
        <v>4</v>
      </c>
      <c r="I5">
        <v>1</v>
      </c>
      <c r="J5">
        <v>5</v>
      </c>
      <c r="K5">
        <v>1</v>
      </c>
      <c r="L5">
        <v>5</v>
      </c>
      <c r="M5">
        <v>2</v>
      </c>
      <c r="N5">
        <v>5</v>
      </c>
      <c r="O5">
        <v>1</v>
      </c>
      <c r="P5">
        <v>5</v>
      </c>
      <c r="Q5">
        <v>1</v>
      </c>
      <c r="R5" t="s">
        <v>48</v>
      </c>
      <c r="S5" t="s">
        <v>49</v>
      </c>
      <c r="T5" t="s">
        <v>50</v>
      </c>
      <c r="U5" t="s">
        <v>40</v>
      </c>
      <c r="V5" t="s">
        <v>33</v>
      </c>
      <c r="W5" t="s">
        <v>34</v>
      </c>
      <c r="X5" t="s">
        <v>33</v>
      </c>
      <c r="Y5" t="s">
        <v>33</v>
      </c>
      <c r="Z5" t="s">
        <v>33</v>
      </c>
      <c r="AA5" t="s">
        <v>34</v>
      </c>
      <c r="AB5" t="s">
        <v>51</v>
      </c>
      <c r="AC5" t="s">
        <v>52</v>
      </c>
    </row>
    <row r="6" spans="1:29">
      <c r="A6">
        <v>5</v>
      </c>
      <c r="B6">
        <v>10</v>
      </c>
      <c r="C6">
        <v>9</v>
      </c>
      <c r="D6">
        <v>10</v>
      </c>
      <c r="E6">
        <v>10</v>
      </c>
      <c r="F6">
        <v>10</v>
      </c>
      <c r="G6">
        <v>9</v>
      </c>
      <c r="H6">
        <v>5</v>
      </c>
      <c r="I6">
        <v>1</v>
      </c>
      <c r="J6">
        <v>5</v>
      </c>
      <c r="K6">
        <v>1</v>
      </c>
      <c r="L6">
        <v>4</v>
      </c>
      <c r="M6">
        <v>2</v>
      </c>
      <c r="N6">
        <v>5</v>
      </c>
      <c r="O6">
        <v>1</v>
      </c>
      <c r="P6">
        <v>5</v>
      </c>
      <c r="Q6">
        <v>1</v>
      </c>
      <c r="R6" t="s">
        <v>53</v>
      </c>
      <c r="S6" t="s">
        <v>54</v>
      </c>
      <c r="T6" t="s">
        <v>55</v>
      </c>
      <c r="U6" t="s">
        <v>40</v>
      </c>
      <c r="V6" t="s">
        <v>33</v>
      </c>
      <c r="W6" t="s">
        <v>33</v>
      </c>
      <c r="X6" t="s">
        <v>34</v>
      </c>
      <c r="Y6" t="s">
        <v>34</v>
      </c>
      <c r="Z6" t="s">
        <v>33</v>
      </c>
      <c r="AA6" t="s">
        <v>34</v>
      </c>
      <c r="AB6" t="s">
        <v>56</v>
      </c>
      <c r="AC6" t="s">
        <v>57</v>
      </c>
    </row>
    <row r="7" spans="1:29">
      <c r="A7">
        <v>6</v>
      </c>
      <c r="B7">
        <v>10</v>
      </c>
      <c r="C7">
        <v>9</v>
      </c>
      <c r="D7">
        <v>10</v>
      </c>
      <c r="E7">
        <v>7</v>
      </c>
      <c r="F7">
        <v>10</v>
      </c>
      <c r="G7">
        <v>10</v>
      </c>
      <c r="H7">
        <v>4</v>
      </c>
      <c r="I7">
        <v>2</v>
      </c>
      <c r="J7">
        <v>4</v>
      </c>
      <c r="K7">
        <v>1</v>
      </c>
      <c r="L7">
        <v>4</v>
      </c>
      <c r="M7">
        <v>2</v>
      </c>
      <c r="N7">
        <v>3</v>
      </c>
      <c r="O7">
        <v>2</v>
      </c>
      <c r="P7">
        <v>4</v>
      </c>
      <c r="Q7">
        <v>2</v>
      </c>
      <c r="R7" t="s">
        <v>58</v>
      </c>
      <c r="S7" t="s">
        <v>59</v>
      </c>
      <c r="T7" t="s">
        <v>60</v>
      </c>
      <c r="U7" t="s">
        <v>40</v>
      </c>
      <c r="V7" t="s">
        <v>33</v>
      </c>
      <c r="W7" t="s">
        <v>33</v>
      </c>
      <c r="X7" t="s">
        <v>33</v>
      </c>
      <c r="Y7" t="s">
        <v>34</v>
      </c>
      <c r="Z7" t="s">
        <v>33</v>
      </c>
      <c r="AA7" t="s">
        <v>34</v>
      </c>
      <c r="AB7" t="s">
        <v>61</v>
      </c>
      <c r="AC7" t="s">
        <v>62</v>
      </c>
    </row>
    <row r="8" spans="1:29">
      <c r="A8">
        <v>7</v>
      </c>
      <c r="B8">
        <v>10</v>
      </c>
      <c r="C8">
        <v>4</v>
      </c>
      <c r="D8">
        <v>9</v>
      </c>
      <c r="E8">
        <v>4</v>
      </c>
      <c r="F8">
        <v>8</v>
      </c>
      <c r="G8">
        <v>3</v>
      </c>
      <c r="H8">
        <v>4</v>
      </c>
      <c r="I8">
        <v>2</v>
      </c>
      <c r="J8">
        <v>4</v>
      </c>
      <c r="K8">
        <v>2</v>
      </c>
      <c r="L8">
        <v>4</v>
      </c>
      <c r="M8">
        <v>1</v>
      </c>
      <c r="N8">
        <v>5</v>
      </c>
      <c r="O8">
        <v>1</v>
      </c>
      <c r="P8">
        <v>4</v>
      </c>
      <c r="Q8">
        <v>2</v>
      </c>
      <c r="R8" t="s">
        <v>63</v>
      </c>
      <c r="S8" t="s">
        <v>64</v>
      </c>
      <c r="T8" t="s">
        <v>65</v>
      </c>
      <c r="U8" t="s">
        <v>66</v>
      </c>
      <c r="V8" t="s">
        <v>33</v>
      </c>
      <c r="W8" t="s">
        <v>33</v>
      </c>
      <c r="X8" t="s">
        <v>33</v>
      </c>
      <c r="Y8" t="s">
        <v>33</v>
      </c>
      <c r="Z8" t="s">
        <v>33</v>
      </c>
      <c r="AA8" t="s">
        <v>34</v>
      </c>
      <c r="AB8" t="s">
        <v>67</v>
      </c>
      <c r="AC8" t="s">
        <v>68</v>
      </c>
    </row>
    <row r="9" spans="1:29">
      <c r="A9">
        <v>8</v>
      </c>
      <c r="B9">
        <v>9</v>
      </c>
      <c r="C9">
        <v>5</v>
      </c>
      <c r="D9">
        <v>10</v>
      </c>
      <c r="E9">
        <v>5</v>
      </c>
      <c r="F9">
        <v>10</v>
      </c>
      <c r="G9">
        <v>4</v>
      </c>
      <c r="H9">
        <v>5</v>
      </c>
      <c r="I9">
        <v>1</v>
      </c>
      <c r="J9">
        <v>4</v>
      </c>
      <c r="K9">
        <v>2</v>
      </c>
      <c r="L9">
        <v>5</v>
      </c>
      <c r="M9">
        <v>2</v>
      </c>
      <c r="N9">
        <v>5</v>
      </c>
      <c r="O9">
        <v>5</v>
      </c>
      <c r="P9">
        <v>5</v>
      </c>
      <c r="Q9">
        <v>2</v>
      </c>
      <c r="R9" t="s">
        <v>69</v>
      </c>
      <c r="S9" t="s">
        <v>70</v>
      </c>
      <c r="T9" t="s">
        <v>71</v>
      </c>
      <c r="U9" t="s">
        <v>40</v>
      </c>
      <c r="V9" t="s">
        <v>33</v>
      </c>
      <c r="W9" t="s">
        <v>33</v>
      </c>
      <c r="X9" t="s">
        <v>33</v>
      </c>
      <c r="Y9" t="s">
        <v>33</v>
      </c>
      <c r="Z9" t="s">
        <v>33</v>
      </c>
      <c r="AA9" t="s">
        <v>34</v>
      </c>
      <c r="AB9" t="s">
        <v>72</v>
      </c>
      <c r="AC9" t="s">
        <v>73</v>
      </c>
    </row>
    <row r="10" spans="1:29">
      <c r="A10">
        <v>9</v>
      </c>
      <c r="B10">
        <v>10</v>
      </c>
      <c r="C10">
        <v>2</v>
      </c>
      <c r="D10">
        <v>9</v>
      </c>
      <c r="E10">
        <v>3</v>
      </c>
      <c r="F10">
        <v>10</v>
      </c>
      <c r="G10">
        <v>5</v>
      </c>
      <c r="H10">
        <v>5</v>
      </c>
      <c r="I10">
        <v>1</v>
      </c>
      <c r="J10">
        <v>5</v>
      </c>
      <c r="K10">
        <v>1</v>
      </c>
      <c r="L10">
        <v>5</v>
      </c>
      <c r="M10">
        <v>1</v>
      </c>
      <c r="N10">
        <v>5</v>
      </c>
      <c r="O10">
        <v>1</v>
      </c>
      <c r="P10">
        <v>5</v>
      </c>
      <c r="Q10">
        <v>1</v>
      </c>
      <c r="R10" t="s">
        <v>74</v>
      </c>
      <c r="S10" t="s">
        <v>75</v>
      </c>
      <c r="T10" t="s">
        <v>71</v>
      </c>
      <c r="U10" t="s">
        <v>40</v>
      </c>
      <c r="V10" t="s">
        <v>33</v>
      </c>
      <c r="W10" t="s">
        <v>33</v>
      </c>
      <c r="X10" t="s">
        <v>33</v>
      </c>
      <c r="Y10" t="s">
        <v>33</v>
      </c>
      <c r="Z10" t="s">
        <v>33</v>
      </c>
      <c r="AA10" t="s">
        <v>33</v>
      </c>
      <c r="AB10" t="s">
        <v>76</v>
      </c>
      <c r="AC10" t="s">
        <v>77</v>
      </c>
    </row>
    <row r="11" spans="1:29">
      <c r="A11">
        <v>10</v>
      </c>
      <c r="B11">
        <v>8</v>
      </c>
      <c r="C11">
        <v>5</v>
      </c>
      <c r="D11">
        <v>4</v>
      </c>
      <c r="E11">
        <v>7</v>
      </c>
      <c r="F11">
        <v>5</v>
      </c>
      <c r="G11">
        <v>6</v>
      </c>
      <c r="H11">
        <v>4</v>
      </c>
      <c r="I11">
        <v>1</v>
      </c>
      <c r="J11">
        <v>5</v>
      </c>
      <c r="K11">
        <v>1</v>
      </c>
      <c r="L11">
        <v>4</v>
      </c>
      <c r="M11">
        <v>2</v>
      </c>
      <c r="N11">
        <v>4</v>
      </c>
      <c r="O11">
        <v>2</v>
      </c>
      <c r="P11">
        <v>5</v>
      </c>
      <c r="Q11">
        <v>1</v>
      </c>
      <c r="R11" t="s">
        <v>78</v>
      </c>
      <c r="S11" t="s">
        <v>79</v>
      </c>
      <c r="T11" t="s">
        <v>80</v>
      </c>
      <c r="U11" t="s">
        <v>66</v>
      </c>
      <c r="V11" t="s">
        <v>34</v>
      </c>
      <c r="W11" t="s">
        <v>33</v>
      </c>
      <c r="X11" t="s">
        <v>34</v>
      </c>
      <c r="Y11" t="s">
        <v>33</v>
      </c>
      <c r="Z11" t="s">
        <v>33</v>
      </c>
      <c r="AA11" t="s">
        <v>34</v>
      </c>
      <c r="AB11" t="s">
        <v>81</v>
      </c>
      <c r="AC11" t="s">
        <v>82</v>
      </c>
    </row>
    <row r="12" spans="1:29">
      <c r="A12">
        <v>11</v>
      </c>
      <c r="B12">
        <v>8</v>
      </c>
      <c r="C12">
        <v>6</v>
      </c>
      <c r="D12">
        <v>8</v>
      </c>
      <c r="E12">
        <v>5</v>
      </c>
      <c r="F12">
        <v>9</v>
      </c>
      <c r="G12">
        <v>7</v>
      </c>
      <c r="H12">
        <v>4</v>
      </c>
      <c r="I12">
        <v>2</v>
      </c>
      <c r="J12">
        <v>4</v>
      </c>
      <c r="K12">
        <v>2</v>
      </c>
      <c r="L12">
        <v>5</v>
      </c>
      <c r="M12">
        <v>1</v>
      </c>
      <c r="N12">
        <v>5</v>
      </c>
      <c r="O12">
        <v>3</v>
      </c>
      <c r="P12">
        <v>4</v>
      </c>
      <c r="Q12">
        <v>2</v>
      </c>
      <c r="R12" t="s">
        <v>83</v>
      </c>
      <c r="S12" t="s">
        <v>84</v>
      </c>
      <c r="T12" t="s">
        <v>85</v>
      </c>
      <c r="U12" t="s">
        <v>86</v>
      </c>
      <c r="V12" t="s">
        <v>33</v>
      </c>
      <c r="W12" t="s">
        <v>33</v>
      </c>
      <c r="X12" t="s">
        <v>33</v>
      </c>
      <c r="Y12" t="s">
        <v>33</v>
      </c>
      <c r="Z12" t="s">
        <v>33</v>
      </c>
      <c r="AA12" t="s">
        <v>34</v>
      </c>
      <c r="AB12" t="s">
        <v>87</v>
      </c>
      <c r="AC12" t="s">
        <v>88</v>
      </c>
    </row>
    <row r="13" spans="1:29">
      <c r="A13">
        <v>12</v>
      </c>
      <c r="B13">
        <v>9</v>
      </c>
      <c r="C13">
        <v>5</v>
      </c>
      <c r="D13">
        <v>10</v>
      </c>
      <c r="E13">
        <v>5</v>
      </c>
      <c r="F13">
        <v>9</v>
      </c>
      <c r="G13">
        <v>8</v>
      </c>
      <c r="H13">
        <v>5</v>
      </c>
      <c r="I13">
        <v>2</v>
      </c>
      <c r="J13">
        <v>5</v>
      </c>
      <c r="K13">
        <v>2</v>
      </c>
      <c r="L13">
        <v>5</v>
      </c>
      <c r="M13">
        <v>2</v>
      </c>
      <c r="N13">
        <v>4</v>
      </c>
      <c r="O13">
        <v>1</v>
      </c>
      <c r="P13">
        <v>4</v>
      </c>
      <c r="Q13">
        <v>2</v>
      </c>
      <c r="R13" t="s">
        <v>89</v>
      </c>
      <c r="S13" t="s">
        <v>90</v>
      </c>
      <c r="T13" t="s">
        <v>91</v>
      </c>
      <c r="U13" t="s">
        <v>32</v>
      </c>
      <c r="V13" t="s">
        <v>33</v>
      </c>
      <c r="W13" t="s">
        <v>33</v>
      </c>
      <c r="X13" t="s">
        <v>33</v>
      </c>
      <c r="Y13" t="s">
        <v>33</v>
      </c>
      <c r="Z13" t="s">
        <v>33</v>
      </c>
      <c r="AA13" t="s">
        <v>33</v>
      </c>
      <c r="AB13" t="s">
        <v>92</v>
      </c>
      <c r="AC13" t="s">
        <v>93</v>
      </c>
    </row>
    <row r="14" spans="1:29">
      <c r="A14">
        <v>13</v>
      </c>
      <c r="B14">
        <v>9</v>
      </c>
      <c r="C14">
        <v>9</v>
      </c>
      <c r="D14">
        <v>10</v>
      </c>
      <c r="E14">
        <v>9</v>
      </c>
      <c r="F14">
        <v>10</v>
      </c>
      <c r="G14">
        <v>8</v>
      </c>
      <c r="H14">
        <v>4</v>
      </c>
      <c r="I14">
        <v>1</v>
      </c>
      <c r="J14">
        <v>5</v>
      </c>
      <c r="K14">
        <v>1</v>
      </c>
      <c r="L14">
        <v>5</v>
      </c>
      <c r="M14">
        <v>1</v>
      </c>
      <c r="N14">
        <v>5</v>
      </c>
      <c r="O14">
        <v>2</v>
      </c>
      <c r="P14">
        <v>4</v>
      </c>
      <c r="Q14">
        <v>1</v>
      </c>
      <c r="R14" t="s">
        <v>94</v>
      </c>
      <c r="S14" t="s">
        <v>95</v>
      </c>
      <c r="T14" t="s">
        <v>96</v>
      </c>
      <c r="U14" t="s">
        <v>40</v>
      </c>
      <c r="V14" t="s">
        <v>33</v>
      </c>
      <c r="W14" t="s">
        <v>33</v>
      </c>
      <c r="X14" t="s">
        <v>34</v>
      </c>
      <c r="Y14" t="s">
        <v>34</v>
      </c>
      <c r="Z14" t="s">
        <v>33</v>
      </c>
      <c r="AA14" t="s">
        <v>34</v>
      </c>
      <c r="AB14" t="s">
        <v>97</v>
      </c>
      <c r="AC14" t="s">
        <v>98</v>
      </c>
    </row>
    <row r="15" spans="1:29">
      <c r="A15">
        <v>14</v>
      </c>
      <c r="B15">
        <v>8</v>
      </c>
      <c r="C15">
        <v>3</v>
      </c>
      <c r="D15">
        <v>7</v>
      </c>
      <c r="E15">
        <v>2</v>
      </c>
      <c r="F15">
        <v>7</v>
      </c>
      <c r="G15">
        <v>3</v>
      </c>
      <c r="H15">
        <v>4</v>
      </c>
      <c r="I15">
        <v>2</v>
      </c>
      <c r="J15">
        <v>5</v>
      </c>
      <c r="K15">
        <v>2</v>
      </c>
      <c r="L15">
        <v>5</v>
      </c>
      <c r="M15">
        <v>2</v>
      </c>
      <c r="N15">
        <v>5</v>
      </c>
      <c r="O15">
        <v>2</v>
      </c>
      <c r="P15">
        <v>3</v>
      </c>
      <c r="Q15">
        <v>1</v>
      </c>
      <c r="R15" t="s">
        <v>99</v>
      </c>
      <c r="S15" t="s">
        <v>100</v>
      </c>
      <c r="T15" t="s">
        <v>101</v>
      </c>
      <c r="U15" t="s">
        <v>86</v>
      </c>
      <c r="V15" t="s">
        <v>33</v>
      </c>
      <c r="W15" t="s">
        <v>33</v>
      </c>
      <c r="X15" t="s">
        <v>34</v>
      </c>
      <c r="Y15" t="s">
        <v>33</v>
      </c>
      <c r="Z15" t="s">
        <v>33</v>
      </c>
      <c r="AA15" t="s">
        <v>34</v>
      </c>
      <c r="AB15" t="s">
        <v>102</v>
      </c>
      <c r="AC15" t="s">
        <v>103</v>
      </c>
    </row>
    <row r="16" spans="1:29">
      <c r="A16">
        <v>15</v>
      </c>
      <c r="B16">
        <v>8</v>
      </c>
      <c r="C16">
        <v>7</v>
      </c>
      <c r="D16">
        <v>5</v>
      </c>
      <c r="E16">
        <v>8</v>
      </c>
      <c r="F16">
        <v>7</v>
      </c>
      <c r="G16">
        <v>9</v>
      </c>
      <c r="H16">
        <v>5</v>
      </c>
      <c r="I16">
        <v>2</v>
      </c>
      <c r="J16">
        <v>5</v>
      </c>
      <c r="K16">
        <v>1</v>
      </c>
      <c r="L16">
        <v>4</v>
      </c>
      <c r="M16">
        <v>1</v>
      </c>
      <c r="N16">
        <v>5</v>
      </c>
      <c r="O16">
        <v>1</v>
      </c>
      <c r="P16">
        <v>4</v>
      </c>
      <c r="Q16">
        <v>2</v>
      </c>
      <c r="R16" t="s">
        <v>104</v>
      </c>
      <c r="S16" t="s">
        <v>105</v>
      </c>
      <c r="T16" t="s">
        <v>106</v>
      </c>
      <c r="U16" t="s">
        <v>40</v>
      </c>
      <c r="V16" t="s">
        <v>33</v>
      </c>
      <c r="W16" t="s">
        <v>33</v>
      </c>
      <c r="X16" t="s">
        <v>33</v>
      </c>
      <c r="Y16" t="s">
        <v>33</v>
      </c>
      <c r="Z16" t="s">
        <v>33</v>
      </c>
      <c r="AA16" t="s">
        <v>34</v>
      </c>
      <c r="AB16" t="s">
        <v>107</v>
      </c>
      <c r="AC16" t="s">
        <v>108</v>
      </c>
    </row>
    <row r="17" spans="1:29">
      <c r="A17">
        <v>16</v>
      </c>
      <c r="B17">
        <v>10</v>
      </c>
      <c r="C17">
        <v>10</v>
      </c>
      <c r="D17">
        <v>10</v>
      </c>
      <c r="E17">
        <v>10</v>
      </c>
      <c r="F17">
        <v>10</v>
      </c>
      <c r="G17">
        <v>10</v>
      </c>
      <c r="H17">
        <v>4</v>
      </c>
      <c r="I17">
        <v>2</v>
      </c>
      <c r="J17">
        <v>5</v>
      </c>
      <c r="K17">
        <v>1</v>
      </c>
      <c r="L17">
        <v>5</v>
      </c>
      <c r="M17">
        <v>1</v>
      </c>
      <c r="N17">
        <v>5</v>
      </c>
      <c r="O17">
        <v>1</v>
      </c>
      <c r="P17">
        <v>5</v>
      </c>
      <c r="Q17">
        <v>2</v>
      </c>
      <c r="R17" t="s">
        <v>109</v>
      </c>
      <c r="S17" t="s">
        <v>110</v>
      </c>
      <c r="T17" t="s">
        <v>111</v>
      </c>
      <c r="U17" t="s">
        <v>40</v>
      </c>
      <c r="V17" t="s">
        <v>33</v>
      </c>
      <c r="W17" t="s">
        <v>33</v>
      </c>
      <c r="X17" t="s">
        <v>33</v>
      </c>
      <c r="Y17" t="s">
        <v>33</v>
      </c>
      <c r="Z17" t="s">
        <v>33</v>
      </c>
      <c r="AA17" t="s">
        <v>34</v>
      </c>
      <c r="AB17" t="s">
        <v>112</v>
      </c>
      <c r="AC17" t="s">
        <v>113</v>
      </c>
    </row>
    <row r="18" spans="1:29">
      <c r="A18">
        <v>17</v>
      </c>
      <c r="B18">
        <v>9</v>
      </c>
      <c r="C18">
        <v>6</v>
      </c>
      <c r="D18">
        <v>8</v>
      </c>
      <c r="E18">
        <v>7</v>
      </c>
      <c r="F18">
        <v>9</v>
      </c>
      <c r="G18">
        <v>7</v>
      </c>
      <c r="H18">
        <v>2</v>
      </c>
      <c r="I18">
        <v>1</v>
      </c>
      <c r="J18">
        <v>5</v>
      </c>
      <c r="K18">
        <v>1</v>
      </c>
      <c r="L18">
        <v>5</v>
      </c>
      <c r="M18">
        <v>1</v>
      </c>
      <c r="N18">
        <v>4</v>
      </c>
      <c r="O18">
        <v>1</v>
      </c>
      <c r="P18">
        <v>5</v>
      </c>
      <c r="Q18">
        <v>1</v>
      </c>
      <c r="R18" t="s">
        <v>114</v>
      </c>
      <c r="S18" t="s">
        <v>115</v>
      </c>
      <c r="T18" t="s">
        <v>116</v>
      </c>
      <c r="U18" t="s">
        <v>40</v>
      </c>
      <c r="V18" t="s">
        <v>34</v>
      </c>
      <c r="W18" t="s">
        <v>34</v>
      </c>
      <c r="X18" t="s">
        <v>34</v>
      </c>
      <c r="Y18" t="s">
        <v>34</v>
      </c>
      <c r="Z18" t="s">
        <v>34</v>
      </c>
      <c r="AA18" t="s">
        <v>34</v>
      </c>
      <c r="AB18" t="s">
        <v>117</v>
      </c>
      <c r="AC18" t="s">
        <v>118</v>
      </c>
    </row>
    <row r="19" spans="1:29">
      <c r="B19" t="s">
        <v>119</v>
      </c>
      <c r="D19" t="s">
        <v>120</v>
      </c>
      <c r="F19" t="s">
        <v>121</v>
      </c>
      <c r="H19" s="1"/>
      <c r="I19" s="1"/>
      <c r="J19" s="1"/>
      <c r="K19" s="1"/>
      <c r="L19" s="1"/>
      <c r="M19" s="1"/>
      <c r="N19" s="1"/>
      <c r="O19" s="1"/>
      <c r="P19" s="1"/>
      <c r="Q19" s="1"/>
      <c r="R19" s="1"/>
      <c r="S19" s="1"/>
      <c r="T19" s="1"/>
      <c r="U19" s="1"/>
      <c r="V19" s="1"/>
      <c r="W19" s="1"/>
      <c r="X19" s="1"/>
      <c r="Y19" s="1"/>
      <c r="Z19" s="1"/>
      <c r="AA19" s="1"/>
      <c r="AB19" s="1"/>
      <c r="AC19" s="1"/>
    </row>
    <row r="20" spans="1:29">
      <c r="A20">
        <v>1</v>
      </c>
      <c r="B20">
        <v>4</v>
      </c>
      <c r="D20">
        <v>5</v>
      </c>
      <c r="F20">
        <v>7</v>
      </c>
    </row>
    <row r="21" spans="1:29">
      <c r="A21">
        <v>2</v>
      </c>
      <c r="B21">
        <v>7</v>
      </c>
      <c r="D21">
        <v>3</v>
      </c>
      <c r="F21">
        <v>7</v>
      </c>
      <c r="I21">
        <v>1</v>
      </c>
      <c r="J21">
        <f>SUM(H2-1, 5-I2, J2-1, 5-K2, L2-1, 5-M2, N2-1, 5-O2, P2-1, 5-Q2)</f>
        <v>38</v>
      </c>
      <c r="K21">
        <f>(J21 * 2.5)</f>
        <v>95</v>
      </c>
    </row>
    <row r="22" spans="1:29">
      <c r="A22">
        <v>3</v>
      </c>
      <c r="B22">
        <v>4</v>
      </c>
      <c r="D22">
        <v>5</v>
      </c>
      <c r="F22">
        <v>7</v>
      </c>
      <c r="I22">
        <v>2</v>
      </c>
      <c r="J22">
        <f>SUM(H3-1, 5-I3, J3-1, 5-K3, L3-1, 5-M3, N3-1, 5-O3, P3-1, 5-Q3)</f>
        <v>38</v>
      </c>
      <c r="K22">
        <f>(J22 * 2.5)</f>
        <v>95</v>
      </c>
      <c r="S22" t="s">
        <v>122</v>
      </c>
      <c r="T22" t="s">
        <v>123</v>
      </c>
    </row>
    <row r="23" spans="1:29">
      <c r="A23">
        <v>4</v>
      </c>
      <c r="B23">
        <v>-3</v>
      </c>
      <c r="D23">
        <v>-4</v>
      </c>
      <c r="F23">
        <v>0</v>
      </c>
      <c r="I23">
        <v>3</v>
      </c>
      <c r="J23">
        <f>SUM(H4-1, 5-I4, J4-1, 5-K4, L4-1, 5-M4, N4-1, 5-O4, P4-1, 5-Q4)</f>
        <v>40</v>
      </c>
      <c r="K23">
        <f>(J23 * 2.5)</f>
        <v>100</v>
      </c>
      <c r="S23" t="s">
        <v>40</v>
      </c>
      <c r="T23">
        <v>11</v>
      </c>
    </row>
    <row r="24" spans="1:29">
      <c r="A24">
        <v>5</v>
      </c>
      <c r="B24">
        <v>1</v>
      </c>
      <c r="D24">
        <v>0</v>
      </c>
      <c r="F24">
        <v>1</v>
      </c>
      <c r="I24">
        <v>4</v>
      </c>
      <c r="J24">
        <f>SUM(H5-1, 5-I5, J5-1, 5-K5, L5-1, 5-M5, N5-1, 5-O5, P5-1, 5-Q5)</f>
        <v>38</v>
      </c>
      <c r="K24">
        <f>(J24 * 2.5)</f>
        <v>95</v>
      </c>
      <c r="S24" t="s">
        <v>66</v>
      </c>
      <c r="T24">
        <v>2</v>
      </c>
    </row>
    <row r="25" spans="1:29">
      <c r="A25">
        <v>6</v>
      </c>
      <c r="B25">
        <v>1</v>
      </c>
      <c r="D25">
        <v>3</v>
      </c>
      <c r="F25">
        <v>0</v>
      </c>
      <c r="I25">
        <v>5</v>
      </c>
      <c r="J25">
        <f>SUM(H6-1, 5-I6, J6-1, 5-K6, L6-1, 5-M6, N6-1, 5-O6, P6-1, 5-Q6)</f>
        <v>38</v>
      </c>
      <c r="K25">
        <f>(J25 * 2.5)</f>
        <v>95</v>
      </c>
      <c r="S25" t="s">
        <v>86</v>
      </c>
      <c r="T25">
        <v>2</v>
      </c>
    </row>
    <row r="26" spans="1:29">
      <c r="A26">
        <v>7</v>
      </c>
      <c r="B26">
        <v>6</v>
      </c>
      <c r="D26">
        <v>5</v>
      </c>
      <c r="F26">
        <v>5</v>
      </c>
      <c r="I26">
        <v>6</v>
      </c>
      <c r="J26">
        <f>SUM(H7-1, 5-I7, J7-1, 5-K7, L7-1, 5-M7, N7-1, 5-O7, P7-1, 5-Q7)</f>
        <v>30</v>
      </c>
      <c r="K26">
        <f>(J26 * 2.5)</f>
        <v>75</v>
      </c>
      <c r="S26" t="s">
        <v>124</v>
      </c>
      <c r="T26">
        <v>2</v>
      </c>
    </row>
    <row r="27" spans="1:29">
      <c r="A27">
        <v>8</v>
      </c>
      <c r="B27">
        <v>4</v>
      </c>
      <c r="D27">
        <v>5</v>
      </c>
      <c r="F27">
        <v>6</v>
      </c>
      <c r="I27">
        <v>7</v>
      </c>
      <c r="J27">
        <f>SUM(H8-1, 5-I8, J8-1, 5-K8, L8-1, 5-M8, N8-1, 5-O8, P8-1, 5-Q8)</f>
        <v>33</v>
      </c>
      <c r="K27">
        <f>(J27 * 2.5)</f>
        <v>82.5</v>
      </c>
      <c r="S27" t="s">
        <v>125</v>
      </c>
      <c r="T27">
        <v>0</v>
      </c>
    </row>
    <row r="28" spans="1:29">
      <c r="A28">
        <v>9</v>
      </c>
      <c r="B28">
        <v>8</v>
      </c>
      <c r="D28">
        <v>6</v>
      </c>
      <c r="F28">
        <v>5</v>
      </c>
      <c r="I28">
        <v>8</v>
      </c>
      <c r="J28">
        <f>SUM(H9-1, 5-I9, J9-1, 5-K9, L9-1, 5-M9, N9-1, 5-O9, P9-1, 5-Q9)</f>
        <v>32</v>
      </c>
      <c r="K28">
        <f>(J28 * 2.5)</f>
        <v>80</v>
      </c>
    </row>
    <row r="29" spans="1:29">
      <c r="A29">
        <v>10</v>
      </c>
      <c r="B29">
        <v>3</v>
      </c>
      <c r="D29">
        <v>-3</v>
      </c>
      <c r="F29">
        <v>-1</v>
      </c>
      <c r="I29">
        <v>9</v>
      </c>
      <c r="J29">
        <f>SUM(H10-1, 5-I10, J10-1, 5-K10, L10-1, 5-M10, N10-1, 5-O10, P10-1, 5-Q10)</f>
        <v>40</v>
      </c>
      <c r="K29">
        <f>(J29 * 2.5)</f>
        <v>100</v>
      </c>
    </row>
    <row r="30" spans="1:29">
      <c r="A30">
        <v>11</v>
      </c>
      <c r="B30">
        <v>2</v>
      </c>
      <c r="D30">
        <v>3</v>
      </c>
      <c r="F30">
        <v>2</v>
      </c>
      <c r="I30">
        <v>10</v>
      </c>
      <c r="J30">
        <f>SUM(H11-1, 5-I11, J11-1, 5-K11, L11-1, 5-M11, N11-1, 5-O11, P11-1, 5-Q11)</f>
        <v>35</v>
      </c>
      <c r="K30">
        <f>(J30 * 2.5)</f>
        <v>87.5</v>
      </c>
    </row>
    <row r="31" spans="1:29">
      <c r="A31">
        <v>12</v>
      </c>
      <c r="B31">
        <v>4</v>
      </c>
      <c r="D31">
        <v>5</v>
      </c>
      <c r="F31">
        <v>1</v>
      </c>
      <c r="I31">
        <v>11</v>
      </c>
      <c r="J31">
        <f>SUM(H12-1, 5-I12, J12-1, 5-K12, L12-1, 5-M12, N12-1, 5-O12, P12-1, 5-Q12)</f>
        <v>32</v>
      </c>
      <c r="K31">
        <f>(J31 * 2.5)</f>
        <v>80</v>
      </c>
    </row>
    <row r="32" spans="1:29">
      <c r="A32">
        <v>13</v>
      </c>
      <c r="B32">
        <v>0</v>
      </c>
      <c r="D32">
        <v>1</v>
      </c>
      <c r="F32">
        <v>2</v>
      </c>
      <c r="I32">
        <v>12</v>
      </c>
      <c r="J32">
        <f>SUM(H13-1, 5-I13, J13-1, 5-K13, L13-1, 5-M13, N13-1, 5-O13, P13-1, 5-Q13)</f>
        <v>34</v>
      </c>
      <c r="K32">
        <f>(J32 * 2.5)</f>
        <v>85</v>
      </c>
    </row>
    <row r="33" spans="1:17">
      <c r="A33">
        <v>14</v>
      </c>
      <c r="B33">
        <v>5</v>
      </c>
      <c r="D33">
        <v>5</v>
      </c>
      <c r="F33">
        <v>4</v>
      </c>
      <c r="I33">
        <v>13</v>
      </c>
      <c r="J33">
        <f>SUM(H14-1, 5-I14, J14-1, 5-K14, L14-1, 5-M14, N14-1, 5-O14, P14-1, 5-Q14)</f>
        <v>37</v>
      </c>
      <c r="K33">
        <f>(J33 * 2.5)</f>
        <v>92.5</v>
      </c>
    </row>
    <row r="34" spans="1:17">
      <c r="A34">
        <v>15</v>
      </c>
      <c r="B34">
        <v>1</v>
      </c>
      <c r="D34">
        <v>-3</v>
      </c>
      <c r="F34">
        <v>-2</v>
      </c>
      <c r="I34">
        <v>14</v>
      </c>
      <c r="J34">
        <f>SUM(H15-1, 5-I15, J15-1, 5-K15, L15-1, 5-M15, N15-1, 5-O15, P15-1, 5-Q15)</f>
        <v>33</v>
      </c>
      <c r="K34">
        <f>(J34 * 2.5)</f>
        <v>82.5</v>
      </c>
    </row>
    <row r="35" spans="1:17">
      <c r="A35">
        <v>16</v>
      </c>
      <c r="B35">
        <v>0</v>
      </c>
      <c r="D35">
        <v>0</v>
      </c>
      <c r="F35">
        <v>0</v>
      </c>
      <c r="I35">
        <v>15</v>
      </c>
      <c r="J35">
        <f>SUM(H16-1, 5-I16, J16-1, 5-K16, L16-1, 5-M16, N16-1, 5-O16, P16-1, 5-Q16)</f>
        <v>36</v>
      </c>
      <c r="K35">
        <f>(J35 * 2.5)</f>
        <v>90</v>
      </c>
    </row>
    <row r="36" spans="1:17">
      <c r="A36">
        <v>17</v>
      </c>
      <c r="B36">
        <v>3</v>
      </c>
      <c r="C36" t="s">
        <v>126</v>
      </c>
      <c r="D36">
        <v>1</v>
      </c>
      <c r="E36" t="s">
        <v>126</v>
      </c>
      <c r="F36">
        <v>2</v>
      </c>
      <c r="G36" t="s">
        <v>127</v>
      </c>
      <c r="I36">
        <v>16</v>
      </c>
      <c r="J36">
        <f>SUM(H17-1, 5-I17, J17-1, 5-K17, L17-1, 5-M17, N17-1, 5-O17, P17-1, 5-Q17)</f>
        <v>37</v>
      </c>
      <c r="K36">
        <f>(J36 * 2.5)</f>
        <v>92.5</v>
      </c>
    </row>
    <row r="37" spans="1:17">
      <c r="B37">
        <f>AVERAGE(B20:B36)</f>
        <v>2.9411764705882355</v>
      </c>
      <c r="C37">
        <f>STDEV(B20:B36)</f>
        <v>2.7944272274317261</v>
      </c>
      <c r="D37">
        <f>AVERAGE(D20:D36)</f>
        <v>2.1764705882352939</v>
      </c>
      <c r="E37">
        <f>STDEV(D20:D36)</f>
        <v>3.2449055093647767</v>
      </c>
      <c r="F37">
        <f>AVERAGE(F20:F36)</f>
        <v>2.7058823529411766</v>
      </c>
      <c r="G37">
        <f>STDEV(F20:F36)</f>
        <v>2.995094027788463</v>
      </c>
      <c r="I37">
        <v>17</v>
      </c>
      <c r="J37">
        <f>SUM(H18-1, 5-I18, J18-1, 5-K18, L18-1, 5-M18, N18-1, 5-O18, P18-1, 5-Q18)</f>
        <v>36</v>
      </c>
      <c r="K37">
        <f>(J37 * 2.5)</f>
        <v>90</v>
      </c>
    </row>
    <row r="38" spans="1:17">
      <c r="C38" t="s">
        <v>128</v>
      </c>
      <c r="E38" t="s">
        <v>128</v>
      </c>
      <c r="G38" t="s">
        <v>128</v>
      </c>
      <c r="K38">
        <f>SUM(K21:K37)/17</f>
        <v>89.264705882352942</v>
      </c>
    </row>
    <row r="39" spans="1:17">
      <c r="C39">
        <v>0.6777481541</v>
      </c>
      <c r="E39">
        <v>0.78700518580000001</v>
      </c>
      <c r="G39">
        <v>0.72641700210000004</v>
      </c>
    </row>
    <row r="40" spans="1:17">
      <c r="C40" t="s">
        <v>129</v>
      </c>
      <c r="E40" t="s">
        <v>129</v>
      </c>
      <c r="G40" t="s">
        <v>129</v>
      </c>
    </row>
    <row r="41" spans="1:17">
      <c r="C41">
        <v>4.3396303679999999</v>
      </c>
      <c r="E41">
        <v>2.7655098429999998</v>
      </c>
      <c r="G41">
        <v>3.7263477389999999</v>
      </c>
    </row>
    <row r="42" spans="1:17">
      <c r="C42" t="s">
        <v>130</v>
      </c>
      <c r="E42" t="s">
        <v>130</v>
      </c>
      <c r="G42" t="s">
        <v>130</v>
      </c>
    </row>
    <row r="43" spans="1:17">
      <c r="C43">
        <f>2*(1-_xlfn.T.DIST(ABS(4.339630368), 16, TRUE))</f>
        <v>5.070386346892608E-4</v>
      </c>
      <c r="E43">
        <f>2*(1-_xlfn.T.DIST(ABS(E41), 16, TRUE))</f>
        <v>1.3787142959057475E-2</v>
      </c>
      <c r="G43">
        <f>2*(1-_xlfn.T.DIST(ABS(G41), 16, TRUE))</f>
        <v>1.8372505410171325E-3</v>
      </c>
    </row>
    <row r="45" spans="1:17">
      <c r="B45" t="s">
        <v>131</v>
      </c>
    </row>
    <row r="46" spans="1:17">
      <c r="B46">
        <v>1.67E-2</v>
      </c>
    </row>
    <row r="48" spans="1:17">
      <c r="B48">
        <f>AVERAGE(B2:B18)</f>
        <v>8.882352941176471</v>
      </c>
      <c r="C48">
        <f>AVERAGE(C2:C18)</f>
        <v>5.9411764705882355</v>
      </c>
      <c r="D48">
        <f>AVERAGE(D2:D18)</f>
        <v>8.235294117647058</v>
      </c>
      <c r="E48">
        <f>AVERAGE(E2:E18)</f>
        <v>6.0588235294117645</v>
      </c>
      <c r="F48">
        <f>AVERAGE(F2:F18)</f>
        <v>8.8235294117647065</v>
      </c>
      <c r="G48">
        <f>AVERAGE(G2:G18)</f>
        <v>6.117647058823529</v>
      </c>
      <c r="H48" s="2">
        <v>5</v>
      </c>
      <c r="I48" s="2">
        <v>1</v>
      </c>
      <c r="J48" s="2">
        <v>5</v>
      </c>
      <c r="K48" s="2">
        <v>1</v>
      </c>
      <c r="L48" s="2">
        <v>5</v>
      </c>
      <c r="M48" s="2">
        <v>1</v>
      </c>
      <c r="N48" s="2">
        <v>4</v>
      </c>
      <c r="O48" s="2">
        <v>1</v>
      </c>
      <c r="P48" s="2">
        <v>4</v>
      </c>
      <c r="Q48" s="2">
        <v>1</v>
      </c>
    </row>
    <row r="49" spans="8:17">
      <c r="H49" s="3">
        <v>5</v>
      </c>
      <c r="I49" s="3">
        <v>1</v>
      </c>
      <c r="J49" s="3">
        <v>4</v>
      </c>
      <c r="K49" s="3">
        <v>1</v>
      </c>
      <c r="L49" s="3">
        <v>5</v>
      </c>
      <c r="M49" s="3">
        <v>1</v>
      </c>
      <c r="N49" s="3">
        <v>5</v>
      </c>
      <c r="O49" s="3">
        <v>1</v>
      </c>
      <c r="P49" s="3">
        <v>4</v>
      </c>
      <c r="Q49" s="3">
        <v>1</v>
      </c>
    </row>
    <row r="50" spans="8:17">
      <c r="H50" s="2">
        <v>5</v>
      </c>
      <c r="I50" s="2">
        <v>1</v>
      </c>
      <c r="J50" s="2">
        <v>5</v>
      </c>
      <c r="K50" s="2">
        <v>1</v>
      </c>
      <c r="L50" s="2">
        <v>5</v>
      </c>
      <c r="M50" s="2">
        <v>1</v>
      </c>
      <c r="N50" s="2">
        <v>5</v>
      </c>
      <c r="O50" s="2">
        <v>1</v>
      </c>
      <c r="P50" s="2">
        <v>5</v>
      </c>
      <c r="Q50" s="2">
        <v>1</v>
      </c>
    </row>
    <row r="51" spans="8:17">
      <c r="H51" s="3">
        <v>4</v>
      </c>
      <c r="I51" s="3">
        <v>1</v>
      </c>
      <c r="J51" s="3">
        <v>5</v>
      </c>
      <c r="K51" s="3">
        <v>1</v>
      </c>
      <c r="L51" s="3">
        <v>5</v>
      </c>
      <c r="M51" s="3">
        <v>2</v>
      </c>
      <c r="N51" s="3">
        <v>5</v>
      </c>
      <c r="O51" s="3">
        <v>1</v>
      </c>
      <c r="P51" s="3">
        <v>5</v>
      </c>
      <c r="Q51" s="3">
        <v>1</v>
      </c>
    </row>
    <row r="52" spans="8:17">
      <c r="H52" s="2">
        <v>5</v>
      </c>
      <c r="I52" s="2">
        <v>1</v>
      </c>
      <c r="J52" s="2">
        <v>5</v>
      </c>
      <c r="K52" s="2">
        <v>1</v>
      </c>
      <c r="L52" s="2">
        <v>4</v>
      </c>
      <c r="M52" s="2">
        <v>2</v>
      </c>
      <c r="N52" s="2">
        <v>5</v>
      </c>
      <c r="O52" s="2">
        <v>1</v>
      </c>
      <c r="P52" s="2">
        <v>5</v>
      </c>
      <c r="Q52" s="2">
        <v>1</v>
      </c>
    </row>
    <row r="53" spans="8:17">
      <c r="H53" s="3">
        <v>4</v>
      </c>
      <c r="I53" s="3">
        <v>2</v>
      </c>
      <c r="J53" s="3">
        <v>4</v>
      </c>
      <c r="K53" s="3">
        <v>1</v>
      </c>
      <c r="L53" s="3">
        <v>4</v>
      </c>
      <c r="M53" s="3">
        <v>2</v>
      </c>
      <c r="N53" s="3">
        <v>3</v>
      </c>
      <c r="O53" s="3">
        <v>2</v>
      </c>
      <c r="P53" s="3">
        <v>4</v>
      </c>
      <c r="Q53" s="3">
        <v>2</v>
      </c>
    </row>
    <row r="54" spans="8:17">
      <c r="H54" s="2">
        <v>4</v>
      </c>
      <c r="I54" s="2">
        <v>2</v>
      </c>
      <c r="J54" s="2">
        <v>4</v>
      </c>
      <c r="K54" s="2">
        <v>2</v>
      </c>
      <c r="L54" s="2">
        <v>4</v>
      </c>
      <c r="M54" s="2">
        <v>1</v>
      </c>
      <c r="N54" s="2">
        <v>5</v>
      </c>
      <c r="O54" s="2">
        <v>1</v>
      </c>
      <c r="P54" s="2">
        <v>4</v>
      </c>
      <c r="Q54" s="2">
        <v>2</v>
      </c>
    </row>
    <row r="55" spans="8:17">
      <c r="H55" s="3">
        <v>5</v>
      </c>
      <c r="I55" s="3">
        <v>1</v>
      </c>
      <c r="J55" s="3">
        <v>4</v>
      </c>
      <c r="K55" s="3">
        <v>2</v>
      </c>
      <c r="L55" s="3">
        <v>5</v>
      </c>
      <c r="M55" s="3">
        <v>2</v>
      </c>
      <c r="N55" s="3">
        <v>5</v>
      </c>
      <c r="O55" s="3">
        <v>5</v>
      </c>
      <c r="P55" s="3">
        <v>5</v>
      </c>
      <c r="Q55" s="3">
        <v>2</v>
      </c>
    </row>
    <row r="56" spans="8:17">
      <c r="H56" s="2">
        <v>5</v>
      </c>
      <c r="I56" s="2">
        <v>1</v>
      </c>
      <c r="J56" s="2">
        <v>5</v>
      </c>
      <c r="K56" s="2">
        <v>1</v>
      </c>
      <c r="L56" s="2">
        <v>5</v>
      </c>
      <c r="M56" s="2">
        <v>1</v>
      </c>
      <c r="N56" s="2">
        <v>5</v>
      </c>
      <c r="O56" s="2">
        <v>1</v>
      </c>
      <c r="P56" s="2">
        <v>5</v>
      </c>
      <c r="Q56" s="2">
        <v>1</v>
      </c>
    </row>
    <row r="57" spans="8:17">
      <c r="H57" s="3">
        <v>4</v>
      </c>
      <c r="I57" s="3">
        <v>1</v>
      </c>
      <c r="J57" s="3">
        <v>5</v>
      </c>
      <c r="K57" s="3">
        <v>1</v>
      </c>
      <c r="L57" s="3">
        <v>4</v>
      </c>
      <c r="M57" s="3">
        <v>2</v>
      </c>
      <c r="N57" s="3">
        <v>4</v>
      </c>
      <c r="O57" s="3">
        <v>2</v>
      </c>
      <c r="P57" s="3">
        <v>5</v>
      </c>
      <c r="Q57" s="3">
        <v>1</v>
      </c>
    </row>
    <row r="58" spans="8:17">
      <c r="H58" s="2">
        <v>4</v>
      </c>
      <c r="I58" s="2">
        <v>2</v>
      </c>
      <c r="J58" s="2">
        <v>4</v>
      </c>
      <c r="K58" s="2">
        <v>2</v>
      </c>
      <c r="L58" s="2">
        <v>5</v>
      </c>
      <c r="M58" s="2">
        <v>1</v>
      </c>
      <c r="N58" s="2">
        <v>5</v>
      </c>
      <c r="O58" s="2">
        <v>3</v>
      </c>
      <c r="P58" s="2">
        <v>4</v>
      </c>
      <c r="Q58" s="2">
        <v>2</v>
      </c>
    </row>
    <row r="59" spans="8:17">
      <c r="H59" s="3">
        <v>5</v>
      </c>
      <c r="I59" s="3">
        <v>2</v>
      </c>
      <c r="J59" s="3">
        <v>5</v>
      </c>
      <c r="K59" s="3">
        <v>2</v>
      </c>
      <c r="L59" s="3">
        <v>5</v>
      </c>
      <c r="M59" s="3">
        <v>2</v>
      </c>
      <c r="N59" s="3">
        <v>4</v>
      </c>
      <c r="O59" s="3">
        <v>1</v>
      </c>
      <c r="P59" s="3">
        <v>4</v>
      </c>
      <c r="Q59" s="3">
        <v>2</v>
      </c>
    </row>
    <row r="60" spans="8:17">
      <c r="H60" s="2">
        <v>4</v>
      </c>
      <c r="I60" s="2">
        <v>1</v>
      </c>
      <c r="J60" s="2">
        <v>5</v>
      </c>
      <c r="K60" s="2">
        <v>1</v>
      </c>
      <c r="L60" s="2">
        <v>5</v>
      </c>
      <c r="M60" s="2">
        <v>1</v>
      </c>
      <c r="N60" s="2">
        <v>5</v>
      </c>
      <c r="O60" s="2">
        <v>2</v>
      </c>
      <c r="P60" s="2">
        <v>4</v>
      </c>
      <c r="Q60" s="2">
        <v>1</v>
      </c>
    </row>
    <row r="61" spans="8:17">
      <c r="H61" s="3">
        <v>4</v>
      </c>
      <c r="I61" s="3">
        <v>2</v>
      </c>
      <c r="J61" s="3">
        <v>5</v>
      </c>
      <c r="K61" s="3">
        <v>2</v>
      </c>
      <c r="L61" s="3">
        <v>5</v>
      </c>
      <c r="M61" s="3">
        <v>2</v>
      </c>
      <c r="N61" s="3">
        <v>5</v>
      </c>
      <c r="O61" s="3">
        <v>2</v>
      </c>
      <c r="P61" s="3">
        <v>3</v>
      </c>
      <c r="Q61" s="3">
        <v>1</v>
      </c>
    </row>
    <row r="62" spans="8:17">
      <c r="H62" s="2">
        <v>5</v>
      </c>
      <c r="I62" s="2">
        <v>2</v>
      </c>
      <c r="J62" s="2">
        <v>5</v>
      </c>
      <c r="K62" s="2">
        <v>1</v>
      </c>
      <c r="L62" s="2">
        <v>4</v>
      </c>
      <c r="M62" s="2">
        <v>1</v>
      </c>
      <c r="N62" s="2">
        <v>5</v>
      </c>
      <c r="O62" s="2">
        <v>1</v>
      </c>
      <c r="P62" s="2">
        <v>4</v>
      </c>
      <c r="Q62" s="2">
        <v>2</v>
      </c>
    </row>
    <row r="63" spans="8:17">
      <c r="H63" s="3">
        <v>4</v>
      </c>
      <c r="I63" s="3">
        <v>2</v>
      </c>
      <c r="J63" s="3">
        <v>5</v>
      </c>
      <c r="K63" s="3">
        <v>1</v>
      </c>
      <c r="L63" s="3">
        <v>5</v>
      </c>
      <c r="M63" s="3">
        <v>1</v>
      </c>
      <c r="N63" s="3">
        <v>5</v>
      </c>
      <c r="O63" s="3">
        <v>1</v>
      </c>
      <c r="P63" s="3">
        <v>5</v>
      </c>
      <c r="Q63" s="3">
        <v>2</v>
      </c>
    </row>
    <row r="64" spans="8:17">
      <c r="H64" s="2">
        <v>2</v>
      </c>
      <c r="I64" s="2">
        <v>1</v>
      </c>
      <c r="J64" s="2">
        <v>5</v>
      </c>
      <c r="K64" s="2">
        <v>1</v>
      </c>
      <c r="L64" s="2">
        <v>5</v>
      </c>
      <c r="M64" s="2">
        <v>1</v>
      </c>
      <c r="N64" s="2">
        <v>4</v>
      </c>
      <c r="O64" s="2">
        <v>1</v>
      </c>
      <c r="P64" s="2">
        <v>5</v>
      </c>
      <c r="Q64" s="2">
        <v>1</v>
      </c>
    </row>
    <row r="65" spans="8:17">
      <c r="H65">
        <f>AVERAGE(H48:H64)</f>
        <v>4.3529411764705879</v>
      </c>
      <c r="I65">
        <f>AVERAGE(I48:I64)</f>
        <v>1.411764705882353</v>
      </c>
      <c r="J65">
        <f>AVERAGE(J48:J64)</f>
        <v>4.7058823529411766</v>
      </c>
      <c r="K65">
        <f>AVERAGE(K48:K64)</f>
        <v>1.2941176470588236</v>
      </c>
      <c r="L65">
        <f>AVERAGE(L48:L64)</f>
        <v>4.7058823529411766</v>
      </c>
      <c r="M65">
        <f>AVERAGE(M48:M64)</f>
        <v>1.411764705882353</v>
      </c>
      <c r="N65">
        <f>AVERAGE(N48:N64)</f>
        <v>4.6470588235294121</v>
      </c>
      <c r="O65">
        <f>AVERAGE(O48:O64)</f>
        <v>1.588235294117647</v>
      </c>
      <c r="P65">
        <f>AVERAGE(P48:P64)</f>
        <v>4.4117647058823533</v>
      </c>
      <c r="Q65">
        <f>AVERAGE(Q48:Q64)</f>
        <v>1.411764705882353</v>
      </c>
    </row>
    <row r="66" spans="8:17">
      <c r="H66">
        <f>(5-H65)</f>
        <v>0.64705882352941213</v>
      </c>
      <c r="I66">
        <f>(I65-1)</f>
        <v>0.41176470588235303</v>
      </c>
      <c r="J66">
        <f>(5-J65)</f>
        <v>0.29411764705882337</v>
      </c>
      <c r="K66">
        <f>(K65-1)</f>
        <v>0.29411764705882359</v>
      </c>
      <c r="L66">
        <f>(5-L65)</f>
        <v>0.29411764705882337</v>
      </c>
      <c r="M66">
        <f>(M65-1)</f>
        <v>0.41176470588235303</v>
      </c>
      <c r="N66">
        <f>(5-N65)</f>
        <v>0.35294117647058787</v>
      </c>
      <c r="O66">
        <f>(O65-1)</f>
        <v>0.58823529411764697</v>
      </c>
      <c r="P66">
        <f>(5-P65)</f>
        <v>0.58823529411764675</v>
      </c>
      <c r="Q66">
        <f>(Q65-1)</f>
        <v>0.41176470588235303</v>
      </c>
    </row>
    <row r="82" spans="2:7">
      <c r="B82" s="4"/>
      <c r="F82" t="s">
        <v>132</v>
      </c>
      <c r="G82">
        <v>20</v>
      </c>
    </row>
    <row r="83" spans="2:7">
      <c r="F83" t="s">
        <v>133</v>
      </c>
      <c r="G83">
        <v>4</v>
      </c>
    </row>
    <row r="84" spans="2:7">
      <c r="F84" t="s">
        <v>134</v>
      </c>
      <c r="G84">
        <v>1</v>
      </c>
    </row>
    <row r="85" spans="2:7">
      <c r="F85" t="s">
        <v>135</v>
      </c>
      <c r="G85">
        <v>1</v>
      </c>
    </row>
  </sheetData>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C1E6B-E69F-4B0A-9685-FAE80A07DF55}">
  <dimension ref="A1:K24"/>
  <sheetViews>
    <sheetView workbookViewId="0">
      <selection activeCell="S64" sqref="S64"/>
    </sheetView>
  </sheetViews>
  <sheetFormatPr defaultRowHeight="15"/>
  <cols>
    <col min="1" max="1" width="30.7109375" customWidth="1"/>
    <col min="2" max="2" width="16.85546875" customWidth="1"/>
    <col min="3" max="3" width="15" customWidth="1"/>
    <col min="4" max="4" width="16.85546875" customWidth="1"/>
    <col min="5" max="5" width="14.5703125" customWidth="1"/>
    <col min="6" max="6" width="16.140625" customWidth="1"/>
    <col min="7" max="7" width="15.42578125" customWidth="1"/>
    <col min="8" max="8" width="16.7109375" customWidth="1"/>
    <col min="9" max="9" width="22.5703125" customWidth="1"/>
    <col min="10" max="10" width="17.42578125" customWidth="1"/>
    <col min="11" max="11" width="16.85546875" customWidth="1"/>
  </cols>
  <sheetData>
    <row r="1" spans="2:11">
      <c r="B1" s="5" t="s">
        <v>136</v>
      </c>
      <c r="C1" s="5" t="s">
        <v>137</v>
      </c>
      <c r="D1" s="5" t="s">
        <v>138</v>
      </c>
      <c r="E1" s="5" t="s">
        <v>139</v>
      </c>
      <c r="F1" s="5" t="s">
        <v>140</v>
      </c>
      <c r="G1" s="5" t="s">
        <v>141</v>
      </c>
      <c r="H1" s="5" t="s">
        <v>142</v>
      </c>
      <c r="I1" s="5" t="s">
        <v>143</v>
      </c>
      <c r="J1" s="5" t="s">
        <v>144</v>
      </c>
      <c r="K1" s="5" t="s">
        <v>145</v>
      </c>
    </row>
    <row r="2" spans="2:11">
      <c r="B2" s="2" t="s">
        <v>146</v>
      </c>
      <c r="C2" s="2" t="s">
        <v>147</v>
      </c>
      <c r="D2" s="2" t="s">
        <v>146</v>
      </c>
      <c r="E2" s="2" t="s">
        <v>147</v>
      </c>
      <c r="F2" s="2" t="s">
        <v>146</v>
      </c>
      <c r="G2" s="2" t="s">
        <v>147</v>
      </c>
      <c r="H2" s="2" t="s">
        <v>148</v>
      </c>
      <c r="I2" s="2" t="s">
        <v>147</v>
      </c>
      <c r="J2" s="2" t="s">
        <v>148</v>
      </c>
      <c r="K2" s="2" t="s">
        <v>147</v>
      </c>
    </row>
    <row r="3" spans="2:11">
      <c r="B3" s="3" t="s">
        <v>146</v>
      </c>
      <c r="C3" s="3" t="s">
        <v>147</v>
      </c>
      <c r="D3" s="3" t="s">
        <v>148</v>
      </c>
      <c r="E3" s="3" t="s">
        <v>147</v>
      </c>
      <c r="F3" s="3" t="s">
        <v>146</v>
      </c>
      <c r="G3" s="3" t="s">
        <v>147</v>
      </c>
      <c r="H3" s="3" t="s">
        <v>146</v>
      </c>
      <c r="I3" s="3" t="s">
        <v>147</v>
      </c>
      <c r="J3" s="3" t="s">
        <v>148</v>
      </c>
      <c r="K3" s="3" t="s">
        <v>147</v>
      </c>
    </row>
    <row r="4" spans="2:11">
      <c r="B4" s="2" t="s">
        <v>146</v>
      </c>
      <c r="C4" s="2" t="s">
        <v>147</v>
      </c>
      <c r="D4" s="2" t="s">
        <v>146</v>
      </c>
      <c r="E4" s="2" t="s">
        <v>147</v>
      </c>
      <c r="F4" s="2" t="s">
        <v>146</v>
      </c>
      <c r="G4" s="2" t="s">
        <v>147</v>
      </c>
      <c r="H4" s="2" t="s">
        <v>146</v>
      </c>
      <c r="I4" s="2" t="s">
        <v>147</v>
      </c>
      <c r="J4" s="2" t="s">
        <v>146</v>
      </c>
      <c r="K4" s="2" t="s">
        <v>147</v>
      </c>
    </row>
    <row r="5" spans="2:11">
      <c r="B5" s="3" t="s">
        <v>148</v>
      </c>
      <c r="C5" s="3" t="s">
        <v>147</v>
      </c>
      <c r="D5" s="3" t="s">
        <v>146</v>
      </c>
      <c r="E5" s="3" t="s">
        <v>147</v>
      </c>
      <c r="F5" s="3" t="s">
        <v>146</v>
      </c>
      <c r="G5" s="3" t="s">
        <v>149</v>
      </c>
      <c r="H5" s="3" t="s">
        <v>146</v>
      </c>
      <c r="I5" s="3" t="s">
        <v>147</v>
      </c>
      <c r="J5" s="3" t="s">
        <v>146</v>
      </c>
      <c r="K5" s="3" t="s">
        <v>147</v>
      </c>
    </row>
    <row r="6" spans="2:11">
      <c r="B6" s="2" t="s">
        <v>146</v>
      </c>
      <c r="C6" s="2" t="s">
        <v>147</v>
      </c>
      <c r="D6" s="2" t="s">
        <v>146</v>
      </c>
      <c r="E6" s="2" t="s">
        <v>147</v>
      </c>
      <c r="F6" s="2" t="s">
        <v>148</v>
      </c>
      <c r="G6" s="2" t="s">
        <v>149</v>
      </c>
      <c r="H6" s="2" t="s">
        <v>146</v>
      </c>
      <c r="I6" s="2" t="s">
        <v>147</v>
      </c>
      <c r="J6" s="2" t="s">
        <v>146</v>
      </c>
      <c r="K6" s="2" t="s">
        <v>147</v>
      </c>
    </row>
    <row r="7" spans="2:11">
      <c r="B7" s="3" t="s">
        <v>148</v>
      </c>
      <c r="C7" s="3" t="s">
        <v>149</v>
      </c>
      <c r="D7" s="3" t="s">
        <v>148</v>
      </c>
      <c r="E7" s="3" t="s">
        <v>147</v>
      </c>
      <c r="F7" s="3" t="s">
        <v>148</v>
      </c>
      <c r="G7" s="3" t="s">
        <v>149</v>
      </c>
      <c r="H7" s="3" t="s">
        <v>150</v>
      </c>
      <c r="I7" s="3" t="s">
        <v>149</v>
      </c>
      <c r="J7" s="3" t="s">
        <v>148</v>
      </c>
      <c r="K7" s="3" t="s">
        <v>149</v>
      </c>
    </row>
    <row r="8" spans="2:11">
      <c r="B8" s="2" t="s">
        <v>148</v>
      </c>
      <c r="C8" s="2" t="s">
        <v>149</v>
      </c>
      <c r="D8" s="2" t="s">
        <v>148</v>
      </c>
      <c r="E8" s="2" t="s">
        <v>149</v>
      </c>
      <c r="F8" s="2" t="s">
        <v>148</v>
      </c>
      <c r="G8" s="2" t="s">
        <v>147</v>
      </c>
      <c r="H8" s="2" t="s">
        <v>146</v>
      </c>
      <c r="I8" s="2" t="s">
        <v>147</v>
      </c>
      <c r="J8" s="2" t="s">
        <v>148</v>
      </c>
      <c r="K8" s="2" t="s">
        <v>149</v>
      </c>
    </row>
    <row r="9" spans="2:11">
      <c r="B9" s="3" t="s">
        <v>146</v>
      </c>
      <c r="C9" s="3" t="s">
        <v>147</v>
      </c>
      <c r="D9" s="3" t="s">
        <v>148</v>
      </c>
      <c r="E9" s="3" t="s">
        <v>149</v>
      </c>
      <c r="F9" s="3" t="s">
        <v>146</v>
      </c>
      <c r="G9" s="3" t="s">
        <v>149</v>
      </c>
      <c r="H9" s="3" t="s">
        <v>146</v>
      </c>
      <c r="I9" s="3" t="s">
        <v>146</v>
      </c>
      <c r="J9" s="3" t="s">
        <v>146</v>
      </c>
      <c r="K9" s="3" t="s">
        <v>149</v>
      </c>
    </row>
    <row r="10" spans="2:11">
      <c r="B10" s="2" t="s">
        <v>146</v>
      </c>
      <c r="C10" s="2" t="s">
        <v>147</v>
      </c>
      <c r="D10" s="2" t="s">
        <v>146</v>
      </c>
      <c r="E10" s="2" t="s">
        <v>147</v>
      </c>
      <c r="F10" s="2" t="s">
        <v>146</v>
      </c>
      <c r="G10" s="2" t="s">
        <v>147</v>
      </c>
      <c r="H10" s="2" t="s">
        <v>146</v>
      </c>
      <c r="I10" s="2" t="s">
        <v>147</v>
      </c>
      <c r="J10" s="2" t="s">
        <v>146</v>
      </c>
      <c r="K10" s="2" t="s">
        <v>147</v>
      </c>
    </row>
    <row r="11" spans="2:11">
      <c r="B11" s="3" t="s">
        <v>148</v>
      </c>
      <c r="C11" s="3" t="s">
        <v>147</v>
      </c>
      <c r="D11" s="3" t="s">
        <v>146</v>
      </c>
      <c r="E11" s="3" t="s">
        <v>147</v>
      </c>
      <c r="F11" s="3" t="s">
        <v>148</v>
      </c>
      <c r="G11" s="3" t="s">
        <v>149</v>
      </c>
      <c r="H11" s="3" t="s">
        <v>148</v>
      </c>
      <c r="I11" s="3" t="s">
        <v>149</v>
      </c>
      <c r="J11" s="3" t="s">
        <v>146</v>
      </c>
      <c r="K11" s="3" t="s">
        <v>147</v>
      </c>
    </row>
    <row r="12" spans="2:11">
      <c r="B12" s="2" t="s">
        <v>148</v>
      </c>
      <c r="C12" s="2" t="s">
        <v>149</v>
      </c>
      <c r="D12" s="2" t="s">
        <v>148</v>
      </c>
      <c r="E12" s="2" t="s">
        <v>149</v>
      </c>
      <c r="F12" s="2" t="s">
        <v>146</v>
      </c>
      <c r="G12" s="2" t="s">
        <v>147</v>
      </c>
      <c r="H12" s="2" t="s">
        <v>146</v>
      </c>
      <c r="I12" s="2" t="s">
        <v>150</v>
      </c>
      <c r="J12" s="2" t="s">
        <v>148</v>
      </c>
      <c r="K12" s="2" t="s">
        <v>149</v>
      </c>
    </row>
    <row r="13" spans="2:11">
      <c r="B13" s="3" t="s">
        <v>146</v>
      </c>
      <c r="C13" s="3" t="s">
        <v>149</v>
      </c>
      <c r="D13" s="3" t="s">
        <v>146</v>
      </c>
      <c r="E13" s="3" t="s">
        <v>149</v>
      </c>
      <c r="F13" s="3" t="s">
        <v>146</v>
      </c>
      <c r="G13" s="3" t="s">
        <v>149</v>
      </c>
      <c r="H13" s="3" t="s">
        <v>148</v>
      </c>
      <c r="I13" s="3" t="s">
        <v>147</v>
      </c>
      <c r="J13" s="3" t="s">
        <v>148</v>
      </c>
      <c r="K13" s="3" t="s">
        <v>149</v>
      </c>
    </row>
    <row r="14" spans="2:11">
      <c r="B14" s="2" t="s">
        <v>148</v>
      </c>
      <c r="C14" s="2" t="s">
        <v>147</v>
      </c>
      <c r="D14" s="2" t="s">
        <v>146</v>
      </c>
      <c r="E14" s="2" t="s">
        <v>147</v>
      </c>
      <c r="F14" s="2" t="s">
        <v>146</v>
      </c>
      <c r="G14" s="2" t="s">
        <v>147</v>
      </c>
      <c r="H14" s="2" t="s">
        <v>146</v>
      </c>
      <c r="I14" s="2" t="s">
        <v>149</v>
      </c>
      <c r="J14" s="2" t="s">
        <v>148</v>
      </c>
      <c r="K14" s="2" t="s">
        <v>147</v>
      </c>
    </row>
    <row r="15" spans="2:11">
      <c r="B15" s="3" t="s">
        <v>148</v>
      </c>
      <c r="C15" s="3" t="s">
        <v>149</v>
      </c>
      <c r="D15" s="3" t="s">
        <v>146</v>
      </c>
      <c r="E15" s="3" t="s">
        <v>149</v>
      </c>
      <c r="F15" s="3" t="s">
        <v>146</v>
      </c>
      <c r="G15" s="3" t="s">
        <v>149</v>
      </c>
      <c r="H15" s="3" t="s">
        <v>146</v>
      </c>
      <c r="I15" s="3" t="s">
        <v>149</v>
      </c>
      <c r="J15" s="3" t="s">
        <v>150</v>
      </c>
      <c r="K15" s="3" t="s">
        <v>147</v>
      </c>
    </row>
    <row r="16" spans="2:11">
      <c r="B16" s="2" t="s">
        <v>146</v>
      </c>
      <c r="C16" s="2" t="s">
        <v>149</v>
      </c>
      <c r="D16" s="2" t="s">
        <v>146</v>
      </c>
      <c r="E16" s="2" t="s">
        <v>147</v>
      </c>
      <c r="F16" s="2" t="s">
        <v>148</v>
      </c>
      <c r="G16" s="2" t="s">
        <v>147</v>
      </c>
      <c r="H16" s="2" t="s">
        <v>146</v>
      </c>
      <c r="I16" s="2" t="s">
        <v>147</v>
      </c>
      <c r="J16" s="2" t="s">
        <v>148</v>
      </c>
      <c r="K16" s="2" t="s">
        <v>149</v>
      </c>
    </row>
    <row r="17" spans="1:11">
      <c r="B17" s="3" t="s">
        <v>148</v>
      </c>
      <c r="C17" s="3" t="s">
        <v>149</v>
      </c>
      <c r="D17" s="3" t="s">
        <v>146</v>
      </c>
      <c r="E17" s="3" t="s">
        <v>147</v>
      </c>
      <c r="F17" s="3" t="s">
        <v>146</v>
      </c>
      <c r="G17" s="3" t="s">
        <v>147</v>
      </c>
      <c r="H17" s="3" t="s">
        <v>146</v>
      </c>
      <c r="I17" s="3" t="s">
        <v>147</v>
      </c>
      <c r="J17" s="3" t="s">
        <v>146</v>
      </c>
      <c r="K17" s="3" t="s">
        <v>149</v>
      </c>
    </row>
    <row r="18" spans="1:11">
      <c r="B18" s="2" t="s">
        <v>149</v>
      </c>
      <c r="C18" s="2" t="s">
        <v>147</v>
      </c>
      <c r="D18" s="2" t="s">
        <v>146</v>
      </c>
      <c r="E18" s="2" t="s">
        <v>147</v>
      </c>
      <c r="F18" s="2" t="s">
        <v>146</v>
      </c>
      <c r="G18" s="2" t="s">
        <v>147</v>
      </c>
      <c r="H18" s="2" t="s">
        <v>148</v>
      </c>
      <c r="I18" s="2" t="s">
        <v>147</v>
      </c>
      <c r="J18" s="2" t="s">
        <v>146</v>
      </c>
      <c r="K18" s="2" t="s">
        <v>147</v>
      </c>
    </row>
    <row r="19" spans="1:11">
      <c r="B19" s="5" t="s">
        <v>136</v>
      </c>
      <c r="C19" s="5" t="s">
        <v>137</v>
      </c>
      <c r="D19" s="5" t="s">
        <v>138</v>
      </c>
      <c r="E19" s="5" t="s">
        <v>139</v>
      </c>
      <c r="F19" s="5" t="s">
        <v>140</v>
      </c>
      <c r="G19" s="5" t="s">
        <v>141</v>
      </c>
      <c r="H19" s="5" t="s">
        <v>142</v>
      </c>
      <c r="I19" s="5" t="s">
        <v>143</v>
      </c>
      <c r="J19" s="5" t="s">
        <v>144</v>
      </c>
      <c r="K19" s="5" t="s">
        <v>145</v>
      </c>
    </row>
    <row r="20" spans="1:11">
      <c r="A20" t="s">
        <v>146</v>
      </c>
      <c r="B20">
        <v>8</v>
      </c>
      <c r="C20">
        <v>0</v>
      </c>
      <c r="D20">
        <v>12</v>
      </c>
      <c r="E20">
        <v>0</v>
      </c>
      <c r="F20">
        <v>12</v>
      </c>
      <c r="G20">
        <v>0</v>
      </c>
      <c r="H20">
        <v>12</v>
      </c>
      <c r="I20">
        <v>1</v>
      </c>
      <c r="J20">
        <v>8</v>
      </c>
      <c r="K20">
        <v>0</v>
      </c>
    </row>
    <row r="21" spans="1:11">
      <c r="A21" t="s">
        <v>148</v>
      </c>
      <c r="B21">
        <v>8</v>
      </c>
      <c r="C21">
        <v>0</v>
      </c>
      <c r="D21">
        <v>5</v>
      </c>
      <c r="E21">
        <v>0</v>
      </c>
      <c r="F21">
        <v>5</v>
      </c>
      <c r="G21">
        <v>0</v>
      </c>
      <c r="H21">
        <v>4</v>
      </c>
      <c r="I21">
        <v>0</v>
      </c>
      <c r="J21">
        <v>8</v>
      </c>
      <c r="K21">
        <v>0</v>
      </c>
    </row>
    <row r="22" spans="1:11">
      <c r="A22" t="s">
        <v>150</v>
      </c>
      <c r="B22">
        <v>0</v>
      </c>
      <c r="C22">
        <v>0</v>
      </c>
      <c r="D22">
        <v>0</v>
      </c>
      <c r="E22">
        <v>0</v>
      </c>
      <c r="F22">
        <v>0</v>
      </c>
      <c r="G22">
        <v>0</v>
      </c>
      <c r="H22">
        <v>1</v>
      </c>
      <c r="I22">
        <v>1</v>
      </c>
      <c r="J22">
        <v>1</v>
      </c>
      <c r="K22">
        <v>0</v>
      </c>
    </row>
    <row r="23" spans="1:11">
      <c r="A23" t="s">
        <v>149</v>
      </c>
      <c r="B23">
        <v>1</v>
      </c>
      <c r="C23">
        <v>7</v>
      </c>
      <c r="D23">
        <v>0</v>
      </c>
      <c r="E23">
        <v>5</v>
      </c>
      <c r="F23">
        <v>0</v>
      </c>
      <c r="G23">
        <v>7</v>
      </c>
      <c r="H23">
        <v>0</v>
      </c>
      <c r="I23">
        <v>4</v>
      </c>
      <c r="J23">
        <v>0</v>
      </c>
      <c r="K23">
        <v>7</v>
      </c>
    </row>
    <row r="24" spans="1:11">
      <c r="A24" t="s">
        <v>147</v>
      </c>
      <c r="B24">
        <v>0</v>
      </c>
      <c r="C24">
        <v>10</v>
      </c>
      <c r="D24">
        <v>0</v>
      </c>
      <c r="E24">
        <v>12</v>
      </c>
      <c r="F24">
        <v>0</v>
      </c>
      <c r="G24">
        <v>10</v>
      </c>
      <c r="H24">
        <v>0</v>
      </c>
      <c r="I24">
        <v>11</v>
      </c>
      <c r="J24">
        <v>0</v>
      </c>
      <c r="K24">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2025-03-15T16:35:11Z</dcterms:created>
  <dcterms:modified xsi:type="dcterms:W3CDTF">2025-03-27T10:08:27Z</dcterms:modified>
  <cp:category/>
  <cp:contentStatus/>
</cp:coreProperties>
</file>